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ropbox\GitHub\Excel-Weekly-Meal-Plan-Shopping-List-Generator\"/>
    </mc:Choice>
  </mc:AlternateContent>
  <bookViews>
    <workbookView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_Meal_Names">OFFSET(BreakfastSheet!$A$1,1,0,COUNTA(BreakfastSheet!$B:$B)-1,1)</definedName>
    <definedName name="BreakfastArea">PlanSheet!$B$2:$H$4</definedName>
    <definedName name="Dinner_Meal_Names">OFFSET(DinnerSheet!$A$1,1,0,COUNTA(DinnerSheet!$B:$B)-1,1)</definedName>
    <definedName name="DinnerArea">PlanSheet!$B$10:$H$12</definedName>
    <definedName name="ListArea">PlanSheet!$B$14:$H$29</definedName>
    <definedName name="Lunch_Meal_Names">OFFSET(LunchSheet!$A$1,1,0,COUNTA(LunchSheet!$B:$B)-1,1)</definedName>
    <definedName name="LunchArea">PlanSheet!$B$6:$H$8</definedName>
    <definedName name="PossibleBreakfastMeals">OFFSET(BreakfastSheet!$F$1,1,0,COUNTA(BreakfastSheet!$F:$F)-1,1)</definedName>
    <definedName name="Snack_Meal_Names">OFFSET(SnacksSheet!$A$1,1,0,COUNTA(SnacksSheet!$B:$B)-1,1)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5" l="1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2" i="5" a="1"/>
  <c r="F2" i="5"/>
  <c r="F3" i="5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" i="5" a="1"/>
  <c r="F1" i="5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2" i="4" a="1"/>
  <c r="F2" i="4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1" i="4" a="1"/>
  <c r="F1" i="4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2" i="3" a="1"/>
  <c r="F2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1" i="3" a="1"/>
  <c r="F1" i="3"/>
  <c r="F2" i="7" a="1"/>
  <c r="F2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3" i="7" a="1"/>
  <c r="F23" i="7"/>
  <c r="F24" i="7" a="1"/>
  <c r="F24" i="7"/>
  <c r="F25" i="7" a="1"/>
  <c r="F25" i="7"/>
  <c r="F26" i="7" a="1"/>
  <c r="F26" i="7"/>
  <c r="F27" i="7" a="1"/>
  <c r="F27" i="7"/>
  <c r="F28" i="7" a="1"/>
  <c r="F28" i="7"/>
  <c r="F29" i="7" a="1"/>
  <c r="F29" i="7"/>
  <c r="F1" i="7" a="1"/>
  <c r="F1" i="7"/>
</calcChain>
</file>

<file path=xl/sharedStrings.xml><?xml version="1.0" encoding="utf-8"?>
<sst xmlns="http://schemas.openxmlformats.org/spreadsheetml/2006/main" count="603" uniqueCount="297">
  <si>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</si>
  <si>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</si>
  <si>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</si>
  <si>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</si>
  <si>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</si>
  <si>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</si>
  <si>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</si>
  <si>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</si>
  <si>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</si>
  <si>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</si>
  <si>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</si>
  <si>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</si>
  <si>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</si>
  <si>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</si>
  <si>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</si>
  <si>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</si>
  <si>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</si>
  <si>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</si>
  <si>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</si>
  <si>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</si>
  <si>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</si>
  <si>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</si>
  <si>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</si>
  <si>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</si>
  <si>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</si>
  <si>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</si>
  <si>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</si>
  <si>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</si>
  <si>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</si>
  <si>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</si>
  <si>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</si>
  <si>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</si>
  <si>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</si>
  <si>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</si>
  <si>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</si>
  <si>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</si>
  <si>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</si>
  <si>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</si>
  <si>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</si>
  <si>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</si>
  <si>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</si>
  <si>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</si>
  <si>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</si>
  <si>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</si>
  <si>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</si>
  <si>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</si>
  <si>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</si>
  <si>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</si>
  <si>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</si>
  <si>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</si>
  <si>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</si>
  <si>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</si>
  <si>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</si>
  <si>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</si>
  <si>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</si>
  <si>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</si>
  <si>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</si>
  <si>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</si>
  <si>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</si>
  <si>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</si>
  <si>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</si>
  <si>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</si>
  <si>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</si>
  <si>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</si>
  <si>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</si>
  <si>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</si>
  <si>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</si>
  <si>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</si>
  <si>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</si>
  <si>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</si>
  <si>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</si>
  <si>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</si>
  <si>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</si>
  <si>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</si>
  <si>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</si>
  <si>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</si>
  <si>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</si>
  <si>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</si>
  <si>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</si>
  <si>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</si>
  <si>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</si>
  <si>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</si>
  <si>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</si>
  <si>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</si>
  <si>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</si>
  <si>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</si>
  <si>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</si>
  <si>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</si>
  <si>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</si>
  <si>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</si>
  <si>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</si>
  <si>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</si>
  <si>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</si>
  <si>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</si>
  <si>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</si>
  <si>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</si>
  <si>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</si>
  <si>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</si>
  <si>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</si>
  <si>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</si>
  <si>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</si>
  <si>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</si>
  <si>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</si>
  <si>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</si>
  <si>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</si>
  <si>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</si>
  <si>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</si>
  <si>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</si>
  <si>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</si>
  <si>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</si>
  <si>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</si>
  <si>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</si>
  <si>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</si>
  <si>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</si>
  <si>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</si>
  <si>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</si>
  <si>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</si>
  <si>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</si>
  <si>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</si>
  <si>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</si>
  <si>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</si>
  <si>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</si>
  <si>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</si>
  <si>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</si>
  <si>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</si>
  <si>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</si>
  <si>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</si>
  <si>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</si>
  <si>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</si>
  <si>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</si>
  <si>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</si>
  <si>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</si>
  <si>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</si>
  <si>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</si>
  <si>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</si>
  <si>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</si>
  <si>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</si>
  <si>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</si>
  <si>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</si>
  <si>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</si>
  <si>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</si>
  <si>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</si>
  <si>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</si>
  <si>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</si>
  <si>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</si>
  <si>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</si>
  <si>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</si>
  <si>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</si>
  <si>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</si>
  <si>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</si>
  <si>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</si>
  <si>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</si>
  <si>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</si>
  <si>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</si>
  <si>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</si>
  <si>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</si>
  <si>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</si>
  <si>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</si>
  <si>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</si>
  <si>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</si>
  <si>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</si>
  <si>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</si>
  <si>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</si>
  <si>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</si>
  <si>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</si>
  <si>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</si>
  <si>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</si>
  <si>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</si>
  <si>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</si>
  <si>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</si>
  <si>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</si>
  <si>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</si>
  <si>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</si>
  <si>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</si>
  <si>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</si>
  <si>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</si>
  <si>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</si>
  <si>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</si>
  <si>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</si>
  <si>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</si>
  <si>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</si>
  <si>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</si>
  <si>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</si>
  <si>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</si>
  <si>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</si>
  <si>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</si>
  <si>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</si>
  <si>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</si>
  <si>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</si>
  <si>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</si>
  <si>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</si>
  <si>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</si>
  <si>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</si>
  <si>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</si>
  <si>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</si>
  <si>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</si>
  <si>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</si>
  <si>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</si>
  <si>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</si>
  <si>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</si>
  <si>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</si>
  <si>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</si>
  <si>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</si>
  <si>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</si>
  <si>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</si>
  <si>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</si>
  <si>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</si>
  <si>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</si>
  <si>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</si>
  <si>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</si>
  <si>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</si>
  <si>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</si>
  <si>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</si>
  <si>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</si>
  <si>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</si>
  <si>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</si>
  <si>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</si>
  <si>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</si>
  <si>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</si>
  <si>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</si>
  <si>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</si>
  <si>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</si>
  <si>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</si>
  <si>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</si>
  <si>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</si>
  <si>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</si>
  <si>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</si>
  <si>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</si>
  <si>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</si>
  <si>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</si>
  <si>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</si>
  <si>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</si>
  <si>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</si>
  <si>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</si>
  <si>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</si>
  <si>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</si>
  <si>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</si>
  <si>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</si>
  <si>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</si>
  <si>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</si>
  <si>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</si>
  <si>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</si>
  <si>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</si>
  <si>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</si>
  <si>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</si>
  <si>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</si>
  <si>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</si>
  <si>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</si>
  <si>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</si>
  <si>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</si>
  <si>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</si>
  <si>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</si>
  <si>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</si>
  <si>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</si>
  <si>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</si>
  <si>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Banana</t>
  </si>
  <si>
    <t>1 Eggs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</si>
  <si>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</si>
  <si>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</si>
  <si>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</si>
  <si>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</si>
  <si>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</si>
  <si>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</si>
  <si>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</si>
  <si>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</si>
  <si>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</si>
  <si>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</si>
  <si>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</si>
  <si>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</si>
  <si>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</si>
  <si>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 xml:space="preserve"> </t>
  </si>
  <si>
    <t>Cilantro Lime Chicken</t>
  </si>
  <si>
    <t>1 Bacon</t>
  </si>
  <si>
    <t>2 Artichoke Hearts</t>
  </si>
  <si>
    <t>2 Croutons</t>
  </si>
  <si>
    <t>3 Spinach</t>
  </si>
  <si>
    <t>2 Pesto</t>
  </si>
  <si>
    <t>2 Tomato</t>
  </si>
  <si>
    <t>1 Beef Tips</t>
  </si>
  <si>
    <t>1 Onion</t>
  </si>
  <si>
    <t>1 Spiral Noodles</t>
  </si>
  <si>
    <t>1 Sour Cream</t>
  </si>
  <si>
    <t>1 Bay Leaf</t>
  </si>
  <si>
    <t>1 Beef Stock</t>
  </si>
  <si>
    <t>1 Brandy</t>
  </si>
  <si>
    <t>1 Mushrooms</t>
  </si>
  <si>
    <t>1 Spaghetti</t>
  </si>
  <si>
    <t>1 Lemon</t>
  </si>
  <si>
    <t>1 Cherry Tomatoes</t>
  </si>
  <si>
    <t>1 Shrimp</t>
  </si>
  <si>
    <t>1 White Wine</t>
  </si>
  <si>
    <t>1 Olive Oil</t>
  </si>
  <si>
    <t>1 Wawa</t>
  </si>
  <si>
    <t>2 Celery</t>
  </si>
  <si>
    <t>2 Peanut Butter</t>
  </si>
  <si>
    <t>1 Cheese Stick</t>
  </si>
  <si>
    <t>DATA VALIDATION IS BROKEN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</si>
</sst>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  <font>
      <b/>
      <sz val="20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5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7" fillId="0" borderId="0" xfId="1" applyFont="1"/>
    <xf numFmtId="0" fontId="21" fillId="0" borderId="0" xfId="0" applyFont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12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7</xdr:col>
          <xdr:colOff>1266825</xdr:colOff>
          <xdr:row>12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12</xdr:row>
          <xdr:rowOff>390525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J30"/>
  <sheetViews>
    <sheetView tabSelected="1" workbookViewId="0">
      <selection activeCell="T5" sqref="T5"/>
    </sheetView>
  </sheetViews>
  <sheetFormatPr defaultColWidth="8.85546875" defaultRowHeight="15"/>
  <cols>
    <col min="1" max="1" width="6" customWidth="1"/>
    <col min="2" max="8" width="15.7109375" customWidth="1"/>
  </cols>
  <sheetData>
    <row r="1" spans="1:10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10" ht="40.5" customHeight="1" thickTop="1">
      <c r="A2" s="39" t="s">
        <v>9</v>
      </c>
      <c r="B2" s="8" t="s">
        <v>41</v>
      </c>
      <c r="C2" s="9" t="s">
        <v>65</v>
      </c>
      <c r="D2" s="9"/>
      <c r="E2" s="9"/>
      <c r="F2" s="9"/>
      <c r="G2" s="9"/>
      <c r="H2" s="10"/>
      <c r="J2" s="38" t="s">
        <v>296</v>
      </c>
    </row>
    <row r="3" spans="1:10" ht="40.5" customHeight="1">
      <c r="A3" s="40"/>
      <c r="B3" s="11"/>
      <c r="C3" s="12"/>
      <c r="D3" s="12" t="s">
        <v>65</v>
      </c>
      <c r="E3" s="12"/>
      <c r="F3" s="12"/>
      <c r="G3" s="12"/>
      <c r="H3" s="13"/>
    </row>
    <row r="4" spans="1:10" ht="40.5" customHeight="1" thickBot="1">
      <c r="A4" s="41"/>
      <c r="B4" s="14"/>
      <c r="C4" s="15"/>
      <c r="D4" s="15"/>
      <c r="E4" s="15"/>
      <c r="F4" s="15"/>
      <c r="G4" s="15" t="s">
        <v>129</v>
      </c>
      <c r="H4" s="16"/>
    </row>
    <row r="5" spans="1:10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10" ht="45" customHeight="1" thickTop="1">
      <c r="A6" s="39" t="s">
        <v>10</v>
      </c>
      <c r="B6" s="8"/>
      <c r="C6" s="9"/>
      <c r="D6" s="9"/>
      <c r="E6" s="9"/>
      <c r="F6" s="9"/>
      <c r="G6" s="9"/>
      <c r="H6" s="10"/>
    </row>
    <row r="7" spans="1:10" ht="40.5" customHeight="1">
      <c r="A7" s="40"/>
      <c r="B7" s="11"/>
      <c r="C7" s="12"/>
      <c r="D7" s="12"/>
      <c r="E7" s="12"/>
      <c r="F7" s="12"/>
      <c r="G7" s="12" t="s">
        <v>241</v>
      </c>
      <c r="H7" s="13"/>
    </row>
    <row r="8" spans="1:10" ht="48" customHeight="1" thickBot="1">
      <c r="A8" s="41"/>
      <c r="B8" s="14"/>
      <c r="C8" s="15"/>
      <c r="D8" s="15"/>
      <c r="E8" s="15"/>
      <c r="F8" s="15" t="s">
        <v>241</v>
      </c>
      <c r="G8" s="15"/>
      <c r="H8" s="16"/>
    </row>
    <row r="9" spans="1:10" ht="45" customHeight="1" thickTop="1" thickBot="1">
      <c r="A9" s="5" t="s">
        <v>13</v>
      </c>
      <c r="B9" s="17"/>
      <c r="C9" s="18"/>
      <c r="D9" s="18"/>
      <c r="E9" s="18" t="s">
        <v>134</v>
      </c>
      <c r="F9" s="18" t="s">
        <v>134</v>
      </c>
      <c r="G9" s="18"/>
      <c r="H9" s="19" t="s">
        <v>130</v>
      </c>
    </row>
    <row r="10" spans="1:10" ht="61.5" customHeight="1" thickTop="1">
      <c r="A10" s="39" t="s">
        <v>11</v>
      </c>
      <c r="B10" s="8"/>
      <c r="C10" s="9"/>
      <c r="D10" s="9"/>
      <c r="E10" s="9" t="s">
        <v>233</v>
      </c>
      <c r="F10" s="9"/>
      <c r="G10" s="9"/>
      <c r="H10" s="10"/>
    </row>
    <row r="11" spans="1:10" ht="61.5" customHeight="1">
      <c r="A11" s="40"/>
      <c r="B11" s="11"/>
      <c r="C11" s="12"/>
      <c r="D11" s="12"/>
      <c r="E11" s="12" t="s">
        <v>84</v>
      </c>
      <c r="F11" s="12" t="s">
        <v>186</v>
      </c>
      <c r="G11" s="12"/>
      <c r="H11" s="13"/>
    </row>
    <row r="12" spans="1:10" ht="61.5" customHeight="1" thickBot="1">
      <c r="A12" s="41"/>
      <c r="B12" s="14"/>
      <c r="C12" s="15"/>
      <c r="D12" s="15"/>
      <c r="E12" s="15"/>
      <c r="F12" s="15"/>
      <c r="G12" s="15"/>
      <c r="H12" s="16"/>
    </row>
    <row r="13" spans="1:10" ht="29.25" customHeight="1" thickTop="1" thickBot="1">
      <c r="B13" s="20"/>
      <c r="C13" s="20"/>
      <c r="D13" s="20"/>
      <c r="E13" s="20"/>
      <c r="F13" s="20"/>
      <c r="G13" s="20"/>
      <c r="H13" s="20"/>
    </row>
    <row r="14" spans="1:10" ht="15.75" customHeight="1" thickTop="1">
      <c r="A14" s="42" t="s">
        <v>8</v>
      </c>
      <c r="B14" s="21" t="s">
        <v>256</v>
      </c>
      <c r="C14" s="21" t="s">
        <v>286</v>
      </c>
      <c r="D14" s="21"/>
      <c r="E14" s="21"/>
      <c r="F14" s="21"/>
      <c r="G14" s="21"/>
      <c r="H14" s="22"/>
    </row>
    <row r="15" spans="1:10" ht="15.75">
      <c r="A15" s="43"/>
      <c r="B15" s="23" t="s">
        <v>272</v>
      </c>
      <c r="C15" s="23" t="s">
        <v>287</v>
      </c>
      <c r="D15" s="23"/>
      <c r="E15" s="23"/>
      <c r="F15" s="23"/>
      <c r="G15" s="23"/>
      <c r="H15" s="24"/>
    </row>
    <row r="16" spans="1:10" ht="15.75">
      <c r="A16" s="43"/>
      <c r="B16" s="23" t="s">
        <v>255</v>
      </c>
      <c r="C16" s="23" t="s">
        <v>288</v>
      </c>
      <c r="D16" s="23"/>
      <c r="E16" s="23"/>
      <c r="F16" s="23"/>
      <c r="G16" s="23"/>
      <c r="H16" s="24"/>
    </row>
    <row r="17" spans="1:8" ht="15.75">
      <c r="A17" s="43"/>
      <c r="B17" s="23" t="s">
        <v>273</v>
      </c>
      <c r="C17" s="23"/>
      <c r="D17" s="23"/>
      <c r="E17" s="23"/>
      <c r="F17" s="23"/>
      <c r="G17" s="23"/>
      <c r="H17" s="24"/>
    </row>
    <row r="18" spans="1:8" ht="15.75">
      <c r="A18" s="43"/>
      <c r="B18" s="23" t="s">
        <v>274</v>
      </c>
      <c r="C18" s="23" t="s">
        <v>289</v>
      </c>
      <c r="D18" s="23"/>
      <c r="E18" s="23"/>
      <c r="F18" s="23"/>
      <c r="G18" s="23"/>
      <c r="H18" s="24"/>
    </row>
    <row r="19" spans="1:8" ht="15.75">
      <c r="A19" s="43"/>
      <c r="B19" s="23" t="s">
        <v>275</v>
      </c>
      <c r="C19" s="23" t="s">
        <v>290</v>
      </c>
      <c r="D19" s="23"/>
      <c r="E19" s="23"/>
      <c r="F19" s="23"/>
      <c r="G19" s="23"/>
      <c r="H19" s="24"/>
    </row>
    <row r="20" spans="1:8" ht="15.75">
      <c r="A20" s="43"/>
      <c r="B20" s="23" t="s">
        <v>276</v>
      </c>
      <c r="C20" s="23" t="s">
        <v>291</v>
      </c>
      <c r="D20" s="23"/>
      <c r="E20" s="23"/>
      <c r="F20" s="23"/>
      <c r="G20" s="23"/>
      <c r="H20" s="24"/>
    </row>
    <row r="21" spans="1:8" ht="15.75">
      <c r="A21" s="43"/>
      <c r="B21" s="23" t="s">
        <v>277</v>
      </c>
      <c r="C21" s="23" t="s">
        <v>292</v>
      </c>
      <c r="D21" s="23"/>
      <c r="E21" s="23"/>
      <c r="F21" s="23"/>
      <c r="G21" s="23"/>
      <c r="H21" s="24"/>
    </row>
    <row r="22" spans="1:8" ht="15.75">
      <c r="A22" s="43"/>
      <c r="B22" s="23" t="s">
        <v>278</v>
      </c>
      <c r="C22" s="23" t="s">
        <v>293</v>
      </c>
      <c r="D22" s="23"/>
      <c r="E22" s="23"/>
      <c r="F22" s="23"/>
      <c r="G22" s="23"/>
      <c r="H22" s="24"/>
    </row>
    <row r="23" spans="1:8" ht="15.75">
      <c r="A23" s="43"/>
      <c r="B23" s="23" t="s">
        <v>279</v>
      </c>
      <c r="C23" s="23" t="s">
        <v>294</v>
      </c>
      <c r="D23" s="23"/>
      <c r="E23" s="23"/>
      <c r="F23" s="23"/>
      <c r="G23" s="23"/>
      <c r="H23" s="24"/>
    </row>
    <row r="24" spans="1:8" ht="15.75">
      <c r="A24" s="43"/>
      <c r="B24" s="23" t="s">
        <v>280</v>
      </c>
      <c r="C24" s="23"/>
      <c r="D24" s="23"/>
      <c r="E24" s="23"/>
      <c r="F24" s="23"/>
      <c r="G24" s="23"/>
      <c r="H24" s="24"/>
    </row>
    <row r="25" spans="1:8" ht="15.75">
      <c r="A25" s="43"/>
      <c r="B25" s="23" t="s">
        <v>281</v>
      </c>
      <c r="C25" s="23" t="s">
        <v>295</v>
      </c>
      <c r="D25" s="23"/>
      <c r="E25" s="23"/>
      <c r="F25" s="23"/>
      <c r="G25" s="23"/>
      <c r="H25" s="24"/>
    </row>
    <row r="26" spans="1:8" ht="15.75">
      <c r="A26" s="43"/>
      <c r="B26" s="23" t="s">
        <v>282</v>
      </c>
      <c r="C26" s="23" t="s">
        <v>270</v>
      </c>
      <c r="D26" s="23"/>
      <c r="E26" s="23"/>
      <c r="F26" s="23"/>
      <c r="G26" s="23"/>
      <c r="H26" s="24"/>
    </row>
    <row r="27" spans="1:8" ht="15.75">
      <c r="A27" s="43"/>
      <c r="B27" s="23" t="s">
        <v>283</v>
      </c>
      <c r="C27" s="23"/>
      <c r="D27" s="23"/>
      <c r="E27" s="23"/>
      <c r="F27" s="23"/>
      <c r="G27" s="23"/>
      <c r="H27" s="24"/>
    </row>
    <row r="28" spans="1:8" ht="15.75">
      <c r="A28" s="43"/>
      <c r="B28" s="23" t="s">
        <v>284</v>
      </c>
      <c r="C28" s="23"/>
      <c r="D28" s="23"/>
      <c r="E28" s="23"/>
      <c r="F28" s="23"/>
      <c r="G28" s="23"/>
      <c r="H28" s="24"/>
    </row>
    <row r="29" spans="1:8" ht="16.5" thickBot="1">
      <c r="A29" s="44"/>
      <c r="B29" s="25" t="s">
        <v>285</v>
      </c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Snack_Meal_Names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I30"/>
  <sheetViews>
    <sheetView workbookViewId="0">
      <selection activeCell="F15" sqref="F15:F31"/>
    </sheetView>
  </sheetViews>
  <sheetFormatPr defaultColWidth="12.42578125" defaultRowHeight="15.75"/>
  <cols>
    <col min="1" max="1" width="39.710937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9">
      <c r="A1" s="36" t="s">
        <v>252</v>
      </c>
      <c r="B1" s="36" t="s">
        <v>253</v>
      </c>
      <c r="C1" s="36" t="s">
        <v>254</v>
      </c>
      <c r="F1" s="37" t="str">
        <f t="array" aca="1" ref="F1" ca="1">IFERROR(INDEX(BreakFast_Meal_Names,SMALL(IF(BreakFast_Meal_Names&lt;&gt;"",ROW(BreakFast_Meal_Names)-ROW($A$2)+1),ROW())),"")</f>
        <v>Apple</v>
      </c>
    </row>
    <row r="2" spans="1:9">
      <c r="A2" s="33" t="s">
        <v>95</v>
      </c>
      <c r="B2" s="3" t="s">
        <v>95</v>
      </c>
      <c r="C2" s="1">
        <v>1</v>
      </c>
      <c r="F2" s="37" t="str">
        <f t="array" aca="1" ref="F2" ca="1">IFERROR(INDEX(BreakFast_Meal_Names,SMALL(IF(BreakFast_Meal_Names&lt;&gt;"",ROW(BreakFast_Meal_Names)-ROW($A$2)+1),ROW())),"")</f>
        <v>Apple Cinnamon Oatmeal</v>
      </c>
      <c r="I2" s="35"/>
    </row>
    <row r="3" spans="1:9">
      <c r="A3" s="1" t="s">
        <v>116</v>
      </c>
      <c r="B3" s="1" t="s">
        <v>117</v>
      </c>
      <c r="C3" s="1">
        <v>1</v>
      </c>
      <c r="D3"/>
      <c r="E3"/>
      <c r="F3" s="37" t="str">
        <f t="array" aca="1" ref="F3" ca="1">IFERROR(INDEX(BreakFast_Meal_Names,SMALL(IF(BreakFast_Meal_Names&lt;&gt;"",ROW(BreakFast_Meal_Names)-ROW($A$2)+1),ROW())),"")</f>
        <v>Bacon</v>
      </c>
    </row>
    <row r="4" spans="1:9">
      <c r="A4"/>
      <c r="B4" s="1" t="s">
        <v>119</v>
      </c>
      <c r="C4" s="1">
        <v>1</v>
      </c>
      <c r="D4"/>
      <c r="E4"/>
      <c r="F4" s="37" t="str">
        <f t="array" aca="1" ref="F4" ca="1">IFERROR(INDEX(BreakFast_Meal_Names,SMALL(IF(BreakFast_Meal_Names&lt;&gt;"",ROW(BreakFast_Meal_Names)-ROW($A$2)+1),ROW())),"")</f>
        <v>Banana</v>
      </c>
    </row>
    <row r="5" spans="1:9">
      <c r="A5"/>
      <c r="B5" s="1" t="s">
        <v>75</v>
      </c>
      <c r="C5" s="1">
        <v>1</v>
      </c>
      <c r="D5"/>
      <c r="F5" s="37" t="str">
        <f t="array" aca="1" ref="F5" ca="1">IFERROR(INDEX(BreakFast_Meal_Names,SMALL(IF(BreakFast_Meal_Names&lt;&gt;"",ROW(BreakFast_Meal_Names)-ROW($A$2)+1),ROW())),"")</f>
        <v>Cereal</v>
      </c>
    </row>
    <row r="6" spans="1:9">
      <c r="A6"/>
      <c r="B6" s="1" t="s">
        <v>118</v>
      </c>
      <c r="C6" s="1">
        <v>1</v>
      </c>
      <c r="F6" s="37" t="str">
        <f t="array" aca="1" ref="F6" ca="1">IFERROR(INDEX(BreakFast_Meal_Names,SMALL(IF(BreakFast_Meal_Names&lt;&gt;"",ROW(BreakFast_Meal_Names)-ROW($A$2)+1),ROW())),"")</f>
        <v>Coffee</v>
      </c>
    </row>
    <row r="7" spans="1:9">
      <c r="A7" s="28" t="s">
        <v>65</v>
      </c>
      <c r="B7" s="28" t="s">
        <v>65</v>
      </c>
      <c r="C7" s="1">
        <v>1</v>
      </c>
      <c r="F7" s="37" t="str">
        <f t="array" aca="1" ref="F7" ca="1">IFERROR(INDEX(BreakFast_Meal_Names,SMALL(IF(BreakFast_Meal_Names&lt;&gt;"",ROW(BreakFast_Meal_Names)-ROW($A$2)+1),ROW())),"")</f>
        <v>Eggs</v>
      </c>
    </row>
    <row r="8" spans="1:9">
      <c r="A8" s="3" t="s">
        <v>129</v>
      </c>
      <c r="B8" s="3" t="s">
        <v>129</v>
      </c>
      <c r="C8" s="1">
        <v>1</v>
      </c>
      <c r="F8" s="37" t="str">
        <f t="array" aca="1" ref="F8" ca="1">IFERROR(INDEX(BreakFast_Meal_Names,SMALL(IF(BreakFast_Meal_Names&lt;&gt;"",ROW(BreakFast_Meal_Names)-ROW($A$2)+1),ROW())),"")</f>
        <v>Fruit</v>
      </c>
    </row>
    <row r="9" spans="1:9">
      <c r="A9" s="1" t="s">
        <v>114</v>
      </c>
      <c r="B9" s="1" t="s">
        <v>114</v>
      </c>
      <c r="C9" s="1">
        <v>1</v>
      </c>
      <c r="F9" s="37" t="str">
        <f t="array" aca="1" ref="F9" ca="1">IFERROR(INDEX(BreakFast_Meal_Names,SMALL(IF(BreakFast_Meal_Names&lt;&gt;"",ROW(BreakFast_Meal_Names)-ROW($A$2)+1),ROW())),"")</f>
        <v>Lemon Blueberry French Toast Cassarole</v>
      </c>
    </row>
    <row r="10" spans="1:9">
      <c r="A10"/>
      <c r="B10" s="1" t="s">
        <v>75</v>
      </c>
      <c r="C10" s="1">
        <v>1</v>
      </c>
      <c r="F10" s="37" t="str">
        <f t="array" aca="1" ref="F10" ca="1">IFERROR(INDEX(BreakFast_Meal_Names,SMALL(IF(BreakFast_Meal_Names&lt;&gt;"",ROW(BreakFast_Meal_Names)-ROW($A$2)+1),ROW())),"")</f>
        <v>Orange</v>
      </c>
    </row>
    <row r="11" spans="1:9">
      <c r="A11" s="1" t="s">
        <v>115</v>
      </c>
      <c r="B11" s="1" t="s">
        <v>115</v>
      </c>
      <c r="C11" s="1">
        <v>1</v>
      </c>
      <c r="F11" s="37" t="str">
        <f t="array" aca="1" ref="F11" ca="1">IFERROR(INDEX(BreakFast_Meal_Names,SMALL(IF(BreakFast_Meal_Names&lt;&gt;"",ROW(BreakFast_Meal_Names)-ROW($A$2)+1),ROW())),"")</f>
        <v>Sausage</v>
      </c>
    </row>
    <row r="12" spans="1:9">
      <c r="A12"/>
      <c r="B12" s="1" t="s">
        <v>75</v>
      </c>
      <c r="C12" s="1">
        <v>1</v>
      </c>
      <c r="F12" s="37" t="str">
        <f t="array" aca="1" ref="F12" ca="1">IFERROR(INDEX(BreakFast_Meal_Names,SMALL(IF(BreakFast_Meal_Names&lt;&gt;"",ROW(BreakFast_Meal_Names)-ROW($A$2)+1),ROW())),"")</f>
        <v>Strawberry Banana Oatmeal</v>
      </c>
    </row>
    <row r="13" spans="1:9">
      <c r="A13" s="28" t="s">
        <v>41</v>
      </c>
      <c r="B13" s="28" t="s">
        <v>41</v>
      </c>
      <c r="C13" s="1">
        <v>1</v>
      </c>
      <c r="F13" s="37" t="str">
        <f t="array" aca="1" ref="F13" ca="1">IFERROR(INDEX(BreakFast_Meal_Names,SMALL(IF(BreakFast_Meal_Names&lt;&gt;"",ROW(BreakFast_Meal_Names)-ROW($A$2)+1),ROW())),"")</f>
        <v>Toast</v>
      </c>
    </row>
    <row r="14" spans="1:9">
      <c r="A14" s="3" t="s">
        <v>180</v>
      </c>
      <c r="B14" s="3" t="s">
        <v>180</v>
      </c>
      <c r="C14" s="1">
        <v>1</v>
      </c>
      <c r="F14" s="37" t="str">
        <f t="array" aca="1" ref="F14" ca="1">IFERROR(INDEX(BreakFast_Meal_Names,SMALL(IF(BreakFast_Meal_Names&lt;&gt;"",ROW(BreakFast_Meal_Names)-ROW($A$2)+1),ROW())),"")</f>
        <v>Waffles</v>
      </c>
    </row>
    <row r="15" spans="1:9">
      <c r="A15" s="2" t="s">
        <v>142</v>
      </c>
      <c r="B15" s="2" t="s">
        <v>88</v>
      </c>
      <c r="C15" s="1">
        <v>1</v>
      </c>
      <c r="D15"/>
      <c r="E15"/>
      <c r="F15" s="37" t="str">
        <f t="array" aca="1" ref="F15" ca="1">IFERROR(INDEX(BreakFast_Meal_Names,SMALL(IF(BreakFast_Meal_Names&lt;&gt;"",ROW(BreakFast_Meal_Names)-ROW($A$2)+1),ROW())),"")</f>
        <v/>
      </c>
      <c r="G15"/>
      <c r="H15"/>
    </row>
    <row r="16" spans="1:9">
      <c r="A16"/>
      <c r="B16" s="2" t="s">
        <v>145</v>
      </c>
      <c r="C16" s="1">
        <v>1</v>
      </c>
      <c r="D16"/>
      <c r="E16"/>
      <c r="F16" s="37" t="str">
        <f t="array" aca="1" ref="F16" ca="1">IFERROR(INDEX(BreakFast_Meal_Names,SMALL(IF(BreakFast_Meal_Names&lt;&gt;"",ROW(BreakFast_Meal_Names)-ROW($A$2)+1),ROW())),"")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37" t="str">
        <f t="array" aca="1" ref="F17" ca="1">IFERROR(INDEX(BreakFast_Meal_Names,SMALL(IF(BreakFast_Meal_Names&lt;&gt;"",ROW(BreakFast_Meal_Names)-ROW($A$2)+1),ROW())),"")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37" t="str">
        <f t="array" aca="1" ref="F18" ca="1">IFERROR(INDEX(BreakFast_Meal_Names,SMALL(IF(BreakFast_Meal_Names&lt;&gt;"",ROW(BreakFast_Meal_Names)-ROW($A$2)+1),ROW())),"")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37" t="str">
        <f t="array" aca="1" ref="F19" ca="1">IFERROR(INDEX(BreakFast_Meal_Names,SMALL(IF(BreakFast_Meal_Names&lt;&gt;"",ROW(BreakFast_Meal_Names)-ROW($A$2)+1),ROW())),"")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37" t="str">
        <f t="array" aca="1" ref="F20" ca="1">IFERROR(INDEX(BreakFast_Meal_Names,SMALL(IF(BreakFast_Meal_Names&lt;&gt;"",ROW(BreakFast_Meal_Names)-ROW($A$2)+1),ROW())),"")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37" t="str">
        <f t="array" aca="1" ref="F21" ca="1">IFERROR(INDEX(BreakFast_Meal_Names,SMALL(IF(BreakFast_Meal_Names&lt;&gt;"",ROW(BreakFast_Meal_Names)-ROW($A$2)+1),ROW())),"")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37" t="str">
        <f t="array" aca="1" ref="F22" ca="1">IFERROR(INDEX(BreakFast_Meal_Names,SMALL(IF(BreakFast_Meal_Names&lt;&gt;"",ROW(BreakFast_Meal_Names)-ROW($A$2)+1),ROW())),"")</f>
        <v/>
      </c>
    </row>
    <row r="23" spans="1:8">
      <c r="A23" s="28" t="s">
        <v>217</v>
      </c>
      <c r="B23" s="28" t="s">
        <v>217</v>
      </c>
      <c r="C23" s="1">
        <v>1</v>
      </c>
      <c r="F23" s="37" t="str">
        <f t="array" aca="1" ref="F23" ca="1">IFERROR(INDEX(BreakFast_Meal_Names,SMALL(IF(BreakFast_Meal_Names&lt;&gt;"",ROW(BreakFast_Meal_Names)-ROW($A$2)+1),ROW())),"")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37" t="str">
        <f t="array" aca="1" ref="F24" ca="1">IFERROR(INDEX(BreakFast_Meal_Names,SMALL(IF(BreakFast_Meal_Names&lt;&gt;"",ROW(BreakFast_Meal_Names)-ROW($A$2)+1),ROW())),"")</f>
        <v/>
      </c>
    </row>
    <row r="25" spans="1:8">
      <c r="A25"/>
      <c r="B25" s="1" t="s">
        <v>119</v>
      </c>
      <c r="C25" s="1">
        <v>1</v>
      </c>
      <c r="D25"/>
      <c r="E25"/>
      <c r="F25" s="37" t="str">
        <f t="array" aca="1" ref="F25" ca="1">IFERROR(INDEX(BreakFast_Meal_Names,SMALL(IF(BreakFast_Meal_Names&lt;&gt;"",ROW(BreakFast_Meal_Names)-ROW($A$2)+1),ROW())),"")</f>
        <v/>
      </c>
    </row>
    <row r="26" spans="1:8">
      <c r="A26"/>
      <c r="B26" s="1" t="s">
        <v>75</v>
      </c>
      <c r="C26" s="1">
        <v>1</v>
      </c>
      <c r="D26"/>
      <c r="F26" s="37" t="str">
        <f t="array" aca="1" ref="F26" ca="1">IFERROR(INDEX(BreakFast_Meal_Names,SMALL(IF(BreakFast_Meal_Names&lt;&gt;"",ROW(BreakFast_Meal_Names)-ROW($A$2)+1),ROW())),"")</f>
        <v/>
      </c>
    </row>
    <row r="27" spans="1:8">
      <c r="A27"/>
      <c r="B27" s="1" t="s">
        <v>122</v>
      </c>
      <c r="C27" s="1">
        <v>1</v>
      </c>
      <c r="F27" s="37" t="str">
        <f t="array" aca="1" ref="F27" ca="1">IFERROR(INDEX(BreakFast_Meal_Names,SMALL(IF(BreakFast_Meal_Names&lt;&gt;"",ROW(BreakFast_Meal_Names)-ROW($A$2)+1),ROW())),"")</f>
        <v/>
      </c>
    </row>
    <row r="28" spans="1:8">
      <c r="A28" s="28" t="s">
        <v>218</v>
      </c>
      <c r="B28" s="28" t="s">
        <v>151</v>
      </c>
      <c r="C28" s="1">
        <v>1</v>
      </c>
      <c r="F28" s="37" t="str">
        <f t="array" aca="1" ref="F28" ca="1">IFERROR(INDEX(BreakFast_Meal_Names,SMALL(IF(BreakFast_Meal_Names&lt;&gt;"",ROW(BreakFast_Meal_Names)-ROW($A$2)+1),ROW())),"")</f>
        <v/>
      </c>
    </row>
    <row r="29" spans="1:8">
      <c r="A29"/>
      <c r="B29" s="28" t="s">
        <v>45</v>
      </c>
      <c r="C29" s="1">
        <v>1</v>
      </c>
      <c r="F29" s="37" t="str">
        <f t="array" aca="1" ref="F29" ca="1">IFERROR(INDEX(BreakFast_Meal_Names,SMALL(IF(BreakFast_Meal_Names&lt;&gt;"",ROW(BreakFast_Meal_Names)-ROW($A$2)+1),ROW())),"")</f>
        <v/>
      </c>
    </row>
    <row r="30" spans="1:8">
      <c r="A30" s="35" t="s">
        <v>251</v>
      </c>
      <c r="B30" s="35" t="s">
        <v>251</v>
      </c>
      <c r="F30" s="37" t="str">
        <f t="array" aca="1" ref="F30" ca="1">IFERROR(INDEX(BreakFast_Meal_Names,SMALL(IF(BreakFast_Meal_Names&lt;&gt;"",ROW(BreakFast_Meal_Names)-ROW($A$2)+1),ROW())),"")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J45" sqref="J45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252</v>
      </c>
      <c r="B1" s="36" t="s">
        <v>253</v>
      </c>
      <c r="C1" s="36" t="s">
        <v>254</v>
      </c>
      <c r="F1" s="37" t="str">
        <f t="array" aca="1" ref="F1" ca="1">IFERROR(INDEX(Lunch_Meal_Names,SMALL(IF(Lunch_Meal_Names&lt;&gt;"",ROW(Lunch_Meal_Names)-ROW($A$2)+1),ROW())),"")</f>
        <v>Apple Cranberry Pecan Salad</v>
      </c>
    </row>
    <row r="2" spans="1:9">
      <c r="A2" s="1" t="s">
        <v>93</v>
      </c>
      <c r="B2" s="1" t="s">
        <v>89</v>
      </c>
      <c r="C2">
        <v>1</v>
      </c>
      <c r="D2"/>
      <c r="E2"/>
      <c r="F2" s="37" t="str">
        <f t="array" aca="1" ref="F2" ca="1">IFERROR(INDEX(Lunch_Meal_Names,SMALL(IF(Lunch_Meal_Names&lt;&gt;"",ROW(Lunch_Meal_Names)-ROW($A$2)+1),ROW())),"")</f>
        <v xml:space="preserve">Artichoke Salad </v>
      </c>
      <c r="G2"/>
      <c r="I2"/>
    </row>
    <row r="3" spans="1:9">
      <c r="A3"/>
      <c r="B3" s="1" t="s">
        <v>77</v>
      </c>
      <c r="C3">
        <v>1</v>
      </c>
      <c r="D3"/>
      <c r="E3"/>
      <c r="F3" s="37" t="str">
        <f t="array" aca="1" ref="F3" ca="1">IFERROR(INDEX(Lunch_Meal_Names,SMALL(IF(Lunch_Meal_Names&lt;&gt;"",ROW(Lunch_Meal_Names)-ROW($A$2)+1),ROW())),"")</f>
        <v>Asian Style Cobb Salad</v>
      </c>
      <c r="G3"/>
      <c r="I3"/>
    </row>
    <row r="4" spans="1:9">
      <c r="A4"/>
      <c r="B4" s="1" t="s">
        <v>98</v>
      </c>
      <c r="C4">
        <v>1</v>
      </c>
      <c r="D4"/>
      <c r="E4"/>
      <c r="F4" s="37" t="str">
        <f t="array" aca="1" ref="F4" ca="1">IFERROR(INDEX(Lunch_Meal_Names,SMALL(IF(Lunch_Meal_Names&lt;&gt;"",ROW(Lunch_Meal_Names)-ROW($A$2)+1),ROW())),"")</f>
        <v>Banana</v>
      </c>
      <c r="G4"/>
    </row>
    <row r="5" spans="1:9">
      <c r="A5"/>
      <c r="B5" s="1" t="s">
        <v>97</v>
      </c>
      <c r="C5">
        <v>1</v>
      </c>
      <c r="D5"/>
      <c r="E5"/>
      <c r="F5" s="37" t="str">
        <f t="array" aca="1" ref="F5" ca="1">IFERROR(INDEX(Lunch_Meal_Names,SMALL(IF(Lunch_Meal_Names&lt;&gt;"",ROW(Lunch_Meal_Names)-ROW($A$2)+1),ROW())),"")</f>
        <v>BLT Chopped Salad</v>
      </c>
      <c r="G5"/>
    </row>
    <row r="6" spans="1:9">
      <c r="A6"/>
      <c r="B6" s="1" t="s">
        <v>96</v>
      </c>
      <c r="C6">
        <v>1</v>
      </c>
      <c r="D6"/>
      <c r="E6"/>
      <c r="F6" s="37" t="str">
        <f t="array" aca="1" ref="F6" ca="1">IFERROR(INDEX(Lunch_Meal_Names,SMALL(IF(Lunch_Meal_Names&lt;&gt;"",ROW(Lunch_Meal_Names)-ROW($A$2)+1),ROW())),"")</f>
        <v>BLT Pita</v>
      </c>
    </row>
    <row r="7" spans="1:9">
      <c r="A7"/>
      <c r="B7" s="1" t="s">
        <v>88</v>
      </c>
      <c r="C7">
        <v>1</v>
      </c>
      <c r="D7"/>
      <c r="E7"/>
      <c r="F7" s="37" t="str">
        <f t="array" aca="1" ref="F7" ca="1">IFERROR(INDEX(Lunch_Meal_Names,SMALL(IF(Lunch_Meal_Names&lt;&gt;"",ROW(Lunch_Meal_Names)-ROW($A$2)+1),ROW())),"")</f>
        <v>BLT Pita with Egg</v>
      </c>
    </row>
    <row r="8" spans="1:9">
      <c r="A8"/>
      <c r="B8" s="1" t="s">
        <v>95</v>
      </c>
      <c r="C8">
        <v>1</v>
      </c>
      <c r="D8"/>
      <c r="F8" s="37" t="str">
        <f t="array" aca="1" ref="F8" ca="1">IFERROR(INDEX(Lunch_Meal_Names,SMALL(IF(Lunch_Meal_Names&lt;&gt;"",ROW(Lunch_Meal_Names)-ROW($A$2)+1),ROW())),"")</f>
        <v>Caprese Pita</v>
      </c>
    </row>
    <row r="9" spans="1:9">
      <c r="A9"/>
      <c r="B9" s="1" t="s">
        <v>94</v>
      </c>
      <c r="C9">
        <v>1</v>
      </c>
      <c r="F9" s="37" t="str">
        <f t="array" aca="1" ref="F9" ca="1">IFERROR(INDEX(Lunch_Meal_Names,SMALL(IF(Lunch_Meal_Names&lt;&gt;"",ROW(Lunch_Meal_Names)-ROW($A$2)+1),ROW())),"")</f>
        <v>Carrots</v>
      </c>
    </row>
    <row r="10" spans="1:9">
      <c r="A10" s="31" t="s">
        <v>241</v>
      </c>
      <c r="B10" s="31" t="s">
        <v>242</v>
      </c>
      <c r="C10">
        <v>1</v>
      </c>
      <c r="D10"/>
      <c r="E10"/>
      <c r="F10" s="37" t="str">
        <f t="array" aca="1" ref="F10" ca="1">IFERROR(INDEX(Lunch_Meal_Names,SMALL(IF(Lunch_Meal_Names&lt;&gt;"",ROW(Lunch_Meal_Names)-ROW($A$2)+1),ROW())),"")</f>
        <v>Celery and Peanut Butter</v>
      </c>
    </row>
    <row r="11" spans="1:9">
      <c r="A11"/>
      <c r="B11" s="31" t="s">
        <v>174</v>
      </c>
      <c r="C11">
        <v>1</v>
      </c>
      <c r="D11"/>
      <c r="E11"/>
      <c r="F11" s="37" t="str">
        <f t="array" aca="1" ref="F11" ca="1">IFERROR(INDEX(Lunch_Meal_Names,SMALL(IF(Lunch_Meal_Names&lt;&gt;"",ROW(Lunch_Meal_Names)-ROW($A$2)+1),ROW())),"")</f>
        <v>Cheese Cubes</v>
      </c>
    </row>
    <row r="12" spans="1:9">
      <c r="A12"/>
      <c r="B12" s="31" t="s">
        <v>89</v>
      </c>
      <c r="C12">
        <v>1</v>
      </c>
      <c r="D12"/>
      <c r="E12"/>
      <c r="F12" s="37" t="str">
        <f t="array" aca="1" ref="F12" ca="1">IFERROR(INDEX(Lunch_Meal_Names,SMALL(IF(Lunch_Meal_Names&lt;&gt;"",ROW(Lunch_Meal_Names)-ROW($A$2)+1),ROW())),"")</f>
        <v>Cheese Stick</v>
      </c>
    </row>
    <row r="13" spans="1:9">
      <c r="A13"/>
      <c r="B13" s="31" t="s">
        <v>176</v>
      </c>
      <c r="C13">
        <v>1</v>
      </c>
      <c r="D13"/>
      <c r="E13" s="31"/>
      <c r="F13" s="37" t="str">
        <f t="array" aca="1" ref="F13" ca="1">IFERROR(INDEX(Lunch_Meal_Names,SMALL(IF(Lunch_Meal_Names&lt;&gt;"",ROW(Lunch_Meal_Names)-ROW($A$2)+1),ROW())),"")</f>
        <v>Chicken Caeser Pita</v>
      </c>
    </row>
    <row r="14" spans="1:9">
      <c r="A14"/>
      <c r="B14" s="31" t="s">
        <v>19</v>
      </c>
      <c r="C14">
        <v>1</v>
      </c>
      <c r="D14" s="31"/>
      <c r="E14" s="31"/>
      <c r="F14" s="37" t="str">
        <f t="array" aca="1" ref="F14" ca="1">IFERROR(INDEX(Lunch_Meal_Names,SMALL(IF(Lunch_Meal_Names&lt;&gt;"",ROW(Lunch_Meal_Names)-ROW($A$2)+1),ROW())),"")</f>
        <v>Chicken Caeser Salad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37" t="str">
        <f t="array" aca="1" ref="F15" ca="1">IFERROR(INDEX(Lunch_Meal_Names,SMALL(IF(Lunch_Meal_Names&lt;&gt;"",ROW(Lunch_Meal_Names)-ROW($A$2)+1),ROW())),"")</f>
        <v>Clementine</v>
      </c>
      <c r="G15"/>
      <c r="I15"/>
    </row>
    <row r="16" spans="1:9">
      <c r="A16"/>
      <c r="B16" s="2" t="s">
        <v>109</v>
      </c>
      <c r="C16">
        <v>1</v>
      </c>
      <c r="D16"/>
      <c r="E16"/>
      <c r="F16" s="37" t="str">
        <f t="array" aca="1" ref="F16" ca="1">IFERROR(INDEX(Lunch_Meal_Names,SMALL(IF(Lunch_Meal_Names&lt;&gt;"",ROW(Lunch_Meal_Names)-ROW($A$2)+1),ROW())),"")</f>
        <v>Cucumber</v>
      </c>
      <c r="G16"/>
      <c r="I16"/>
    </row>
    <row r="17" spans="1:9">
      <c r="A17"/>
      <c r="B17" s="2" t="s">
        <v>41</v>
      </c>
      <c r="C17">
        <v>1</v>
      </c>
      <c r="D17"/>
      <c r="E17"/>
      <c r="F17" s="37" t="str">
        <f t="array" aca="1" ref="F17" ca="1">IFERROR(INDEX(Lunch_Meal_Names,SMALL(IF(Lunch_Meal_Names&lt;&gt;"",ROW(Lunch_Meal_Names)-ROW($A$2)+1),ROW())),"")</f>
        <v>Fiber One Brownie</v>
      </c>
      <c r="G17"/>
      <c r="I17" s="2"/>
    </row>
    <row r="18" spans="1:9">
      <c r="A18"/>
      <c r="B18" s="2" t="s">
        <v>164</v>
      </c>
      <c r="C18">
        <v>1</v>
      </c>
      <c r="D18"/>
      <c r="E18"/>
      <c r="F18" s="37" t="str">
        <f t="array" aca="1" ref="F18" ca="1">IFERROR(INDEX(Lunch_Meal_Names,SMALL(IF(Lunch_Meal_Names&lt;&gt;"",ROW(Lunch_Meal_Names)-ROW($A$2)+1),ROW())),"")</f>
        <v>Fiber One Cookie</v>
      </c>
      <c r="G18"/>
      <c r="I18" s="2"/>
    </row>
    <row r="19" spans="1:9">
      <c r="A19"/>
      <c r="B19" s="2" t="s">
        <v>50</v>
      </c>
      <c r="C19">
        <v>1</v>
      </c>
      <c r="D19"/>
      <c r="E19"/>
      <c r="F19" s="37" t="str">
        <f t="array" aca="1" ref="F19" ca="1">IFERROR(INDEX(Lunch_Meal_Names,SMALL(IF(Lunch_Meal_Names&lt;&gt;"",ROW(Lunch_Meal_Names)-ROW($A$2)+1),ROW())),"")</f>
        <v>Fiber One Protein Bar</v>
      </c>
      <c r="G19" s="2"/>
      <c r="I19" s="2"/>
    </row>
    <row r="20" spans="1:9">
      <c r="A20"/>
      <c r="B20" s="2" t="s">
        <v>49</v>
      </c>
      <c r="C20">
        <v>1</v>
      </c>
      <c r="D20"/>
      <c r="E20"/>
      <c r="F20" s="37" t="str">
        <f t="array" aca="1" ref="F20" ca="1">IFERROR(INDEX(Lunch_Meal_Names,SMALL(IF(Lunch_Meal_Names&lt;&gt;"",ROW(Lunch_Meal_Names)-ROW($A$2)+1),ROW())),"")</f>
        <v>Fruit</v>
      </c>
      <c r="G20" s="2"/>
      <c r="I20" s="2"/>
    </row>
    <row r="21" spans="1:9">
      <c r="A21"/>
      <c r="B21" s="2" t="s">
        <v>100</v>
      </c>
      <c r="C21">
        <v>1</v>
      </c>
      <c r="D21"/>
      <c r="E21" s="2"/>
      <c r="F21" s="37" t="str">
        <f t="array" aca="1" ref="F21" ca="1">IFERROR(INDEX(Lunch_Meal_Names,SMALL(IF(Lunch_Meal_Names&lt;&gt;"",ROW(Lunch_Meal_Names)-ROW($A$2)+1),ROW())),"")</f>
        <v>Goldfish</v>
      </c>
      <c r="G21" s="2"/>
      <c r="I21" s="2"/>
    </row>
    <row r="22" spans="1:9">
      <c r="A22"/>
      <c r="B22" s="2" t="s">
        <v>15</v>
      </c>
      <c r="C22">
        <v>1</v>
      </c>
      <c r="D22" s="2"/>
      <c r="E22" s="2"/>
      <c r="F22" s="37" t="str">
        <f t="array" aca="1" ref="F22" ca="1">IFERROR(INDEX(Lunch_Meal_Names,SMALL(IF(Lunch_Meal_Names&lt;&gt;"",ROW(Lunch_Meal_Names)-ROW($A$2)+1),ROW())),"")</f>
        <v>Grapes</v>
      </c>
      <c r="G22" s="2"/>
      <c r="I22" s="2"/>
    </row>
    <row r="23" spans="1:9">
      <c r="A23" s="1" t="s">
        <v>129</v>
      </c>
      <c r="B23" s="1" t="s">
        <v>129</v>
      </c>
      <c r="C23">
        <v>1</v>
      </c>
      <c r="F23" s="37" t="str">
        <f t="array" aca="1" ref="F23" ca="1">IFERROR(INDEX(Lunch_Meal_Names,SMALL(IF(Lunch_Meal_Names&lt;&gt;"",ROW(Lunch_Meal_Names)-ROW($A$2)+1),ROW())),"")</f>
        <v>Grilled Cheese Sandwich</v>
      </c>
    </row>
    <row r="24" spans="1:9">
      <c r="A24" s="2" t="s">
        <v>168</v>
      </c>
      <c r="B24" s="2" t="s">
        <v>65</v>
      </c>
      <c r="C24">
        <v>1</v>
      </c>
      <c r="D24"/>
      <c r="E24"/>
      <c r="F24" s="37" t="str">
        <f t="array" aca="1" ref="F24" ca="1">IFERROR(INDEX(Lunch_Meal_Names,SMALL(IF(Lunch_Meal_Names&lt;&gt;"",ROW(Lunch_Meal_Names)-ROW($A$2)+1),ROW())),"")</f>
        <v>Kiwi</v>
      </c>
      <c r="G24"/>
    </row>
    <row r="25" spans="1:9">
      <c r="A25"/>
      <c r="B25" s="2" t="s">
        <v>100</v>
      </c>
      <c r="C25">
        <v>1</v>
      </c>
      <c r="D25"/>
      <c r="E25"/>
      <c r="F25" s="37" t="str">
        <f t="array" aca="1" ref="F25" ca="1">IFERROR(INDEX(Lunch_Meal_Names,SMALL(IF(Lunch_Meal_Names&lt;&gt;"",ROW(Lunch_Meal_Names)-ROW($A$2)+1),ROW())),"")</f>
        <v>Mexican Chopped Salad</v>
      </c>
      <c r="G25"/>
    </row>
    <row r="26" spans="1:9">
      <c r="A26"/>
      <c r="B26" s="2" t="s">
        <v>77</v>
      </c>
      <c r="C26">
        <v>1</v>
      </c>
      <c r="D26"/>
      <c r="E26"/>
      <c r="F26" s="37" t="str">
        <f t="array" aca="1" ref="F26" ca="1">IFERROR(INDEX(Lunch_Meal_Names,SMALL(IF(Lunch_Meal_Names&lt;&gt;"",ROW(Lunch_Meal_Names)-ROW($A$2)+1),ROW())),"")</f>
        <v>Mozzarella, Mango, &amp; Avocado Salad</v>
      </c>
      <c r="G26"/>
    </row>
    <row r="27" spans="1:9">
      <c r="A27"/>
      <c r="B27" s="2" t="s">
        <v>169</v>
      </c>
      <c r="C27">
        <v>1</v>
      </c>
      <c r="D27"/>
      <c r="E27"/>
      <c r="F27" s="37" t="str">
        <f t="array" aca="1" ref="F27" ca="1">IFERROR(INDEX(Lunch_Meal_Names,SMALL(IF(Lunch_Meal_Names&lt;&gt;"",ROW(Lunch_Meal_Names)-ROW($A$2)+1),ROW())),"")</f>
        <v>Orange</v>
      </c>
      <c r="G27" s="2"/>
    </row>
    <row r="28" spans="1:9">
      <c r="A28"/>
      <c r="B28" s="2" t="s">
        <v>87</v>
      </c>
      <c r="C28">
        <v>1</v>
      </c>
      <c r="D28"/>
      <c r="E28"/>
      <c r="F28" s="37" t="str">
        <f t="array" aca="1" ref="F28" ca="1">IFERROR(INDEX(Lunch_Meal_Names,SMALL(IF(Lunch_Meal_Names&lt;&gt;"",ROW(Lunch_Meal_Names)-ROW($A$2)+1),ROW())),"")</f>
        <v>PB2 Sandwich</v>
      </c>
      <c r="G28" s="2"/>
    </row>
    <row r="29" spans="1:9">
      <c r="A29"/>
      <c r="B29" s="2" t="s">
        <v>125</v>
      </c>
      <c r="C29">
        <v>1</v>
      </c>
      <c r="D29"/>
      <c r="E29" s="2"/>
      <c r="F29" s="37" t="str">
        <f t="array" aca="1" ref="F29" ca="1">IFERROR(INDEX(Lunch_Meal_Names,SMALL(IF(Lunch_Meal_Names&lt;&gt;"",ROW(Lunch_Meal_Names)-ROW($A$2)+1),ROW())),"")</f>
        <v>Peanut Butter and Banana Sandwich</v>
      </c>
      <c r="G29" s="2"/>
    </row>
    <row r="30" spans="1:9">
      <c r="A30"/>
      <c r="B30" s="2" t="s">
        <v>109</v>
      </c>
      <c r="C30">
        <v>1</v>
      </c>
      <c r="D30" s="2"/>
      <c r="E30" s="2"/>
      <c r="F30" s="37" t="str">
        <f t="array" aca="1" ref="F30" ca="1">IFERROR(INDEX(Lunch_Meal_Names,SMALL(IF(Lunch_Meal_Names&lt;&gt;"",ROW(Lunch_Meal_Names)-ROW($A$2)+1),ROW())),"")</f>
        <v>Peanut Butter and Jelly Sandwich</v>
      </c>
      <c r="G30" s="2"/>
    </row>
    <row r="31" spans="1:9">
      <c r="A31" s="2" t="s">
        <v>152</v>
      </c>
      <c r="B31" s="2" t="s">
        <v>113</v>
      </c>
      <c r="C31">
        <v>1</v>
      </c>
      <c r="D31"/>
      <c r="E31"/>
      <c r="F31" s="37" t="str">
        <f t="array" aca="1" ref="F31" ca="1">IFERROR(INDEX(Lunch_Meal_Names,SMALL(IF(Lunch_Meal_Names&lt;&gt;"",ROW(Lunch_Meal_Names)-ROW($A$2)+1),ROW())),"")</f>
        <v>Pickle</v>
      </c>
    </row>
    <row r="32" spans="1:9">
      <c r="A32"/>
      <c r="B32" s="2" t="s">
        <v>19</v>
      </c>
      <c r="C32">
        <v>1</v>
      </c>
      <c r="D32"/>
      <c r="E32"/>
      <c r="F32" s="37" t="str">
        <f t="array" aca="1" ref="F32" ca="1">IFERROR(INDEX(Lunch_Meal_Names,SMALL(IF(Lunch_Meal_Names&lt;&gt;"",ROW(Lunch_Meal_Names)-ROW($A$2)+1),ROW())),"")</f>
        <v>Pretzels</v>
      </c>
    </row>
    <row r="33" spans="1:6">
      <c r="A33"/>
      <c r="B33" s="2" t="s">
        <v>18</v>
      </c>
      <c r="C33">
        <v>1</v>
      </c>
      <c r="D33"/>
      <c r="E33" s="2"/>
      <c r="F33" s="37" t="str">
        <f t="array" aca="1" ref="F33" ca="1">IFERROR(INDEX(Lunch_Meal_Names,SMALL(IF(Lunch_Meal_Names&lt;&gt;"",ROW(Lunch_Meal_Names)-ROW($A$2)+1),ROW())),"")</f>
        <v>Quesadilla</v>
      </c>
    </row>
    <row r="34" spans="1:6">
      <c r="A34"/>
      <c r="B34" s="2" t="s">
        <v>65</v>
      </c>
      <c r="C34">
        <v>1</v>
      </c>
      <c r="D34" s="2"/>
      <c r="E34" s="2"/>
      <c r="F34" s="37" t="str">
        <f t="array" aca="1" ref="F34" ca="1">IFERROR(INDEX(Lunch_Meal_Names,SMALL(IF(Lunch_Meal_Names&lt;&gt;"",ROW(Lunch_Meal_Names)-ROW($A$2)+1),ROW())),"")</f>
        <v>Quinoa Avocado Spinach Power Salad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37" t="str">
        <f t="array" aca="1" ref="F35" ca="1">IFERROR(INDEX(Lunch_Meal_Names,SMALL(IF(Lunch_Meal_Names&lt;&gt;"",ROW(Lunch_Meal_Names)-ROW($A$2)+1),ROW())),"")</f>
        <v>Spinach Mushroom Quinoa Salad</v>
      </c>
    </row>
    <row r="36" spans="1:6">
      <c r="A36"/>
      <c r="B36" s="2" t="s">
        <v>154</v>
      </c>
      <c r="C36">
        <v>1</v>
      </c>
      <c r="D36"/>
      <c r="E36"/>
      <c r="F36" s="37" t="str">
        <f t="array" aca="1" ref="F36" ca="1">IFERROR(INDEX(Lunch_Meal_Names,SMALL(IF(Lunch_Meal_Names&lt;&gt;"",ROW(Lunch_Meal_Names)-ROW($A$2)+1),ROW())),"")</f>
        <v>Stawberry Quinoa Salad</v>
      </c>
    </row>
    <row r="37" spans="1:6">
      <c r="A37"/>
      <c r="B37" s="2" t="s">
        <v>19</v>
      </c>
      <c r="C37">
        <v>1</v>
      </c>
      <c r="D37"/>
      <c r="E37"/>
      <c r="F37" s="37" t="str">
        <f t="array" aca="1" ref="F37" ca="1">IFERROR(INDEX(Lunch_Meal_Names,SMALL(IF(Lunch_Meal_Names&lt;&gt;"",ROW(Lunch_Meal_Names)-ROW($A$2)+1),ROW())),"")</f>
        <v>Strawberries</v>
      </c>
    </row>
    <row r="38" spans="1:6">
      <c r="A38"/>
      <c r="B38" s="2" t="s">
        <v>18</v>
      </c>
      <c r="C38">
        <v>1</v>
      </c>
      <c r="D38"/>
      <c r="E38" s="2"/>
      <c r="F38" s="37" t="str">
        <f t="array" aca="1" ref="F38" ca="1">IFERROR(INDEX(Lunch_Meal_Names,SMALL(IF(Lunch_Meal_Names&lt;&gt;"",ROW(Lunch_Meal_Names)-ROW($A$2)+1),ROW())),"")</f>
        <v>Strawberry Avocado Couscous Salad</v>
      </c>
    </row>
    <row r="39" spans="1:6">
      <c r="A39"/>
      <c r="B39" s="2" t="s">
        <v>65</v>
      </c>
      <c r="C39">
        <v>1</v>
      </c>
      <c r="D39" s="2"/>
      <c r="E39" s="2"/>
      <c r="F39" s="37" t="str">
        <f t="array" aca="1" ref="F39" ca="1">IFERROR(INDEX(Lunch_Meal_Names,SMALL(IF(Lunch_Meal_Names&lt;&gt;"",ROW(Lunch_Meal_Names)-ROW($A$2)+1),ROW())),"")</f>
        <v>Strawberry Clementine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37" t="str">
        <f t="array" aca="1" ref="F40" ca="1">IFERROR(INDEX(Lunch_Meal_Names,SMALL(IF(Lunch_Meal_Names&lt;&gt;"",ROW(Lunch_Meal_Names)-ROW($A$2)+1),ROW())),"")</f>
        <v>Black Bean and Corn Quesadilla</v>
      </c>
    </row>
    <row r="41" spans="1:6">
      <c r="A41"/>
      <c r="B41" s="2" t="s">
        <v>158</v>
      </c>
      <c r="C41">
        <v>1</v>
      </c>
      <c r="D41"/>
      <c r="E41"/>
      <c r="F41" s="37" t="str">
        <f t="array" aca="1" ref="F41" ca="1">IFERROR(INDEX(Lunch_Meal_Names,SMALL(IF(Lunch_Meal_Names&lt;&gt;"",ROW(Lunch_Meal_Names)-ROW($A$2)+1),ROW())),"")</f>
        <v>Popcorn</v>
      </c>
    </row>
    <row r="42" spans="1:6">
      <c r="A42"/>
      <c r="B42" s="2" t="s">
        <v>157</v>
      </c>
      <c r="C42">
        <v>1</v>
      </c>
      <c r="D42"/>
      <c r="E42"/>
      <c r="F42" s="37" t="str">
        <f t="array" aca="1" ref="F42" ca="1">IFERROR(INDEX(Lunch_Meal_Names,SMALL(IF(Lunch_Meal_Names&lt;&gt;"",ROW(Lunch_Meal_Names)-ROW($A$2)+1),ROW())),"")</f>
        <v/>
      </c>
    </row>
    <row r="43" spans="1:6">
      <c r="A43"/>
      <c r="B43" s="2" t="s">
        <v>113</v>
      </c>
      <c r="C43">
        <v>1</v>
      </c>
      <c r="D43"/>
      <c r="E43" s="2"/>
      <c r="F43" s="37" t="str">
        <f t="array" aca="1" ref="F43" ca="1">IFERROR(INDEX(Lunch_Meal_Names,SMALL(IF(Lunch_Meal_Names&lt;&gt;"",ROW(Lunch_Meal_Names)-ROW($A$2)+1),ROW())),"")</f>
        <v/>
      </c>
    </row>
    <row r="44" spans="1:6">
      <c r="A44"/>
      <c r="B44" s="2" t="s">
        <v>19</v>
      </c>
      <c r="C44">
        <v>1</v>
      </c>
      <c r="D44" s="2"/>
      <c r="E44" s="2"/>
      <c r="F44" s="37" t="str">
        <f t="array" aca="1" ref="F44" ca="1">IFERROR(INDEX(Lunch_Meal_Names,SMALL(IF(Lunch_Meal_Names&lt;&gt;"",ROW(Lunch_Meal_Names)-ROW($A$2)+1),ROW())),"")</f>
        <v/>
      </c>
    </row>
    <row r="45" spans="1:6">
      <c r="A45" s="1" t="s">
        <v>128</v>
      </c>
      <c r="B45" s="1" t="s">
        <v>128</v>
      </c>
      <c r="C45">
        <v>1</v>
      </c>
      <c r="F45" s="37" t="str">
        <f t="array" aca="1" ref="F45" ca="1">IFERROR(INDEX(Lunch_Meal_Names,SMALL(IF(Lunch_Meal_Names&lt;&gt;"",ROW(Lunch_Meal_Names)-ROW($A$2)+1),ROW())),"")</f>
        <v/>
      </c>
    </row>
    <row r="46" spans="1:6">
      <c r="A46" s="1" t="s">
        <v>134</v>
      </c>
      <c r="B46" s="1" t="s">
        <v>135</v>
      </c>
      <c r="C46">
        <v>1</v>
      </c>
      <c r="F46" s="37" t="str">
        <f t="array" aca="1" ref="F46" ca="1">IFERROR(INDEX(Lunch_Meal_Names,SMALL(IF(Lunch_Meal_Names&lt;&gt;"",ROW(Lunch_Meal_Names)-ROW($A$2)+1),ROW())),"")</f>
        <v/>
      </c>
    </row>
    <row r="47" spans="1:6">
      <c r="A47"/>
      <c r="B47" s="1" t="s">
        <v>136</v>
      </c>
      <c r="C47">
        <v>1</v>
      </c>
      <c r="F47" s="37" t="str">
        <f t="array" aca="1" ref="F47" ca="1">IFERROR(INDEX(Lunch_Meal_Names,SMALL(IF(Lunch_Meal_Names&lt;&gt;"",ROW(Lunch_Meal_Names)-ROW($A$2)+1),ROW())),"")</f>
        <v/>
      </c>
    </row>
    <row r="48" spans="1:6">
      <c r="A48" s="1" t="s">
        <v>131</v>
      </c>
      <c r="B48" s="1" t="s">
        <v>131</v>
      </c>
      <c r="C48">
        <v>1</v>
      </c>
      <c r="F48" s="37" t="str">
        <f t="array" aca="1" ref="F48" ca="1">IFERROR(INDEX(Lunch_Meal_Names,SMALL(IF(Lunch_Meal_Names&lt;&gt;"",ROW(Lunch_Meal_Names)-ROW($A$2)+1),ROW())),"")</f>
        <v/>
      </c>
    </row>
    <row r="49" spans="1:6">
      <c r="A49" s="1" t="s">
        <v>130</v>
      </c>
      <c r="B49" s="1" t="s">
        <v>130</v>
      </c>
      <c r="C49">
        <v>1</v>
      </c>
      <c r="F49" s="37" t="str">
        <f t="array" aca="1" ref="F49" ca="1">IFERROR(INDEX(Lunch_Meal_Names,SMALL(IF(Lunch_Meal_Names&lt;&gt;"",ROW(Lunch_Meal_Names)-ROW($A$2)+1),ROW())),"")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</row>
    <row r="51" spans="1:6">
      <c r="A51"/>
      <c r="B51" s="1" t="s">
        <v>113</v>
      </c>
      <c r="C51">
        <v>1</v>
      </c>
      <c r="D51"/>
      <c r="E51"/>
    </row>
    <row r="52" spans="1:6">
      <c r="A52"/>
      <c r="B52" s="1" t="s">
        <v>111</v>
      </c>
      <c r="C52">
        <v>1</v>
      </c>
      <c r="D52"/>
      <c r="E52"/>
    </row>
    <row r="53" spans="1:6">
      <c r="A53"/>
      <c r="B53" s="1" t="s">
        <v>110</v>
      </c>
      <c r="C53">
        <v>1</v>
      </c>
      <c r="D53"/>
    </row>
    <row r="54" spans="1:6">
      <c r="A54"/>
      <c r="B54" s="1" t="s">
        <v>15</v>
      </c>
      <c r="C54">
        <v>1</v>
      </c>
    </row>
    <row r="55" spans="1:6">
      <c r="A55" s="1" t="s">
        <v>108</v>
      </c>
      <c r="B55" s="1" t="s">
        <v>109</v>
      </c>
      <c r="C55">
        <v>1</v>
      </c>
      <c r="D55"/>
      <c r="E55"/>
    </row>
    <row r="56" spans="1:6">
      <c r="A56"/>
      <c r="B56" s="1" t="s">
        <v>111</v>
      </c>
      <c r="C56">
        <v>1</v>
      </c>
      <c r="D56"/>
      <c r="E56"/>
    </row>
    <row r="57" spans="1:6">
      <c r="A57"/>
      <c r="B57" s="1" t="s">
        <v>110</v>
      </c>
      <c r="C57">
        <v>1</v>
      </c>
      <c r="D57"/>
    </row>
    <row r="58" spans="1:6">
      <c r="A58"/>
      <c r="B58" s="1" t="s">
        <v>15</v>
      </c>
      <c r="C58">
        <v>1</v>
      </c>
    </row>
    <row r="59" spans="1:6">
      <c r="A59" s="1" t="s">
        <v>137</v>
      </c>
      <c r="B59" s="1" t="s">
        <v>137</v>
      </c>
      <c r="C59">
        <v>1</v>
      </c>
    </row>
    <row r="60" spans="1:6">
      <c r="A60" s="1" t="s">
        <v>141</v>
      </c>
      <c r="B60" s="1" t="s">
        <v>141</v>
      </c>
      <c r="C60">
        <v>1</v>
      </c>
    </row>
    <row r="61" spans="1:6">
      <c r="A61" s="1" t="s">
        <v>133</v>
      </c>
      <c r="B61" s="1" t="s">
        <v>133</v>
      </c>
      <c r="C61">
        <v>1</v>
      </c>
    </row>
    <row r="62" spans="1:6">
      <c r="A62" s="27" t="s">
        <v>212</v>
      </c>
      <c r="B62" s="27" t="s">
        <v>212</v>
      </c>
      <c r="C62">
        <v>1</v>
      </c>
    </row>
    <row r="63" spans="1:6">
      <c r="A63" s="1" t="s">
        <v>132</v>
      </c>
      <c r="B63" s="1" t="s">
        <v>132</v>
      </c>
      <c r="C63">
        <v>1</v>
      </c>
    </row>
    <row r="64" spans="1:6">
      <c r="A64" s="3" t="s">
        <v>180</v>
      </c>
      <c r="B64" s="3" t="s">
        <v>180</v>
      </c>
      <c r="C64">
        <v>1</v>
      </c>
    </row>
    <row r="65" spans="1:9">
      <c r="A65" s="27" t="s">
        <v>213</v>
      </c>
      <c r="B65" s="27" t="s">
        <v>213</v>
      </c>
      <c r="C65">
        <v>1</v>
      </c>
    </row>
    <row r="66" spans="1:9">
      <c r="A66" s="1" t="s">
        <v>127</v>
      </c>
      <c r="B66" s="1" t="s">
        <v>127</v>
      </c>
      <c r="C66">
        <v>1</v>
      </c>
    </row>
    <row r="67" spans="1:9">
      <c r="A67" s="2" t="s">
        <v>159</v>
      </c>
      <c r="B67" s="2" t="s">
        <v>26</v>
      </c>
      <c r="C67">
        <v>1</v>
      </c>
    </row>
    <row r="68" spans="1:9">
      <c r="A68"/>
      <c r="B68" s="2" t="s">
        <v>151</v>
      </c>
      <c r="C68">
        <v>1</v>
      </c>
    </row>
    <row r="69" spans="1:9">
      <c r="A69" s="1" t="s">
        <v>139</v>
      </c>
      <c r="B69" s="1" t="s">
        <v>139</v>
      </c>
      <c r="C69">
        <v>1</v>
      </c>
    </row>
    <row r="70" spans="1:9">
      <c r="A70" s="2" t="s">
        <v>170</v>
      </c>
      <c r="B70" s="2" t="s">
        <v>171</v>
      </c>
      <c r="C70">
        <v>1</v>
      </c>
      <c r="D70"/>
      <c r="E70"/>
      <c r="G70"/>
      <c r="H70"/>
      <c r="I70"/>
    </row>
    <row r="71" spans="1:9">
      <c r="A71"/>
      <c r="B71" s="2" t="s">
        <v>109</v>
      </c>
      <c r="C71">
        <v>1</v>
      </c>
      <c r="D71"/>
      <c r="E71"/>
      <c r="G71"/>
      <c r="H71"/>
      <c r="I71"/>
    </row>
    <row r="72" spans="1:9">
      <c r="A72"/>
      <c r="B72" s="2" t="s">
        <v>147</v>
      </c>
      <c r="C72">
        <v>1</v>
      </c>
      <c r="D72"/>
      <c r="E72"/>
      <c r="G72"/>
      <c r="H72"/>
      <c r="I72" s="2"/>
    </row>
    <row r="73" spans="1:9">
      <c r="A73"/>
      <c r="B73" s="2" t="s">
        <v>35</v>
      </c>
      <c r="C73">
        <v>1</v>
      </c>
      <c r="D73"/>
      <c r="E73"/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</row>
    <row r="79" spans="1:9">
      <c r="A79"/>
      <c r="B79" s="2" t="s">
        <v>149</v>
      </c>
      <c r="C79">
        <v>1</v>
      </c>
      <c r="D79"/>
      <c r="E79"/>
    </row>
    <row r="80" spans="1:9">
      <c r="A80"/>
      <c r="B80" s="2" t="s">
        <v>89</v>
      </c>
      <c r="C80">
        <v>1</v>
      </c>
      <c r="D80"/>
      <c r="E80"/>
    </row>
    <row r="81" spans="1:7">
      <c r="A81"/>
      <c r="B81" s="2" t="s">
        <v>156</v>
      </c>
      <c r="C81">
        <v>1</v>
      </c>
      <c r="D81"/>
      <c r="E81" s="2"/>
    </row>
    <row r="82" spans="1:7">
      <c r="A82"/>
      <c r="B82" s="2" t="s">
        <v>161</v>
      </c>
      <c r="C82">
        <v>1</v>
      </c>
      <c r="D82" s="2"/>
      <c r="E82" s="2"/>
    </row>
    <row r="83" spans="1:7">
      <c r="A83" s="1" t="s">
        <v>138</v>
      </c>
      <c r="B83" s="1" t="s">
        <v>138</v>
      </c>
      <c r="C83">
        <v>1</v>
      </c>
    </row>
    <row r="84" spans="1:7">
      <c r="A84" s="27" t="s">
        <v>210</v>
      </c>
      <c r="B84" s="27" t="s">
        <v>257</v>
      </c>
      <c r="C84">
        <v>1</v>
      </c>
    </row>
    <row r="85" spans="1:7">
      <c r="A85"/>
      <c r="B85" s="27" t="s">
        <v>151</v>
      </c>
      <c r="C85">
        <v>1</v>
      </c>
    </row>
    <row r="86" spans="1:7">
      <c r="A86" s="2" t="s">
        <v>150</v>
      </c>
      <c r="B86" s="2" t="s">
        <v>136</v>
      </c>
      <c r="C86">
        <v>1</v>
      </c>
      <c r="D86"/>
    </row>
    <row r="87" spans="1:7">
      <c r="A87"/>
      <c r="B87" s="2" t="s">
        <v>151</v>
      </c>
      <c r="C87">
        <v>1</v>
      </c>
      <c r="D87"/>
    </row>
    <row r="88" spans="1:7">
      <c r="A88"/>
      <c r="B88" s="2" t="s">
        <v>129</v>
      </c>
      <c r="C88">
        <v>1</v>
      </c>
      <c r="D88" s="2"/>
    </row>
    <row r="89" spans="1:7">
      <c r="A89" s="27" t="s">
        <v>208</v>
      </c>
      <c r="B89" s="27" t="s">
        <v>136</v>
      </c>
      <c r="C89">
        <v>1</v>
      </c>
      <c r="D89"/>
    </row>
    <row r="90" spans="1:7">
      <c r="A90"/>
      <c r="B90" s="27" t="s">
        <v>151</v>
      </c>
      <c r="C90">
        <v>1</v>
      </c>
      <c r="D90"/>
    </row>
    <row r="91" spans="1:7">
      <c r="A91"/>
      <c r="B91" s="27" t="s">
        <v>209</v>
      </c>
      <c r="C91">
        <v>1</v>
      </c>
      <c r="D91" s="27"/>
    </row>
    <row r="92" spans="1:7">
      <c r="A92" s="1" t="s">
        <v>140</v>
      </c>
      <c r="B92" s="1" t="s">
        <v>140</v>
      </c>
      <c r="C92">
        <v>1</v>
      </c>
    </row>
    <row r="93" spans="1:7">
      <c r="A93" s="27" t="s">
        <v>215</v>
      </c>
      <c r="B93" s="27" t="s">
        <v>215</v>
      </c>
      <c r="C93">
        <v>1</v>
      </c>
    </row>
    <row r="94" spans="1:7">
      <c r="A94" s="1" t="s">
        <v>104</v>
      </c>
      <c r="B94" s="1" t="s">
        <v>105</v>
      </c>
      <c r="C94">
        <v>1</v>
      </c>
    </row>
    <row r="95" spans="1:7">
      <c r="A95"/>
      <c r="B95" s="1" t="s">
        <v>26</v>
      </c>
      <c r="C95">
        <v>1</v>
      </c>
    </row>
    <row r="96" spans="1:7">
      <c r="A96" s="2" t="s">
        <v>166</v>
      </c>
      <c r="B96" s="2" t="s">
        <v>102</v>
      </c>
      <c r="C96">
        <v>1</v>
      </c>
      <c r="D96"/>
      <c r="E96"/>
      <c r="G96"/>
    </row>
    <row r="97" spans="1:9">
      <c r="A97"/>
      <c r="B97" s="2" t="s">
        <v>50</v>
      </c>
      <c r="C97">
        <v>1</v>
      </c>
      <c r="D97"/>
      <c r="E97"/>
      <c r="G97"/>
    </row>
    <row r="98" spans="1:9">
      <c r="A98"/>
      <c r="B98" s="2" t="s">
        <v>167</v>
      </c>
      <c r="C98">
        <v>1</v>
      </c>
      <c r="D98"/>
      <c r="E98"/>
      <c r="G98" s="2"/>
    </row>
    <row r="99" spans="1:9">
      <c r="A99"/>
      <c r="B99" s="2" t="s">
        <v>87</v>
      </c>
      <c r="C99">
        <v>1</v>
      </c>
      <c r="D99"/>
      <c r="E99"/>
      <c r="G99" s="2"/>
    </row>
    <row r="100" spans="1:9">
      <c r="A100"/>
      <c r="B100" s="2" t="s">
        <v>89</v>
      </c>
      <c r="C100">
        <v>1</v>
      </c>
      <c r="D100"/>
      <c r="E100" s="2"/>
      <c r="G100" s="2"/>
    </row>
    <row r="101" spans="1:9">
      <c r="A101"/>
      <c r="B101" s="2" t="s">
        <v>100</v>
      </c>
      <c r="C101">
        <v>1</v>
      </c>
      <c r="D101" s="2"/>
      <c r="E101" s="2"/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</row>
    <row r="103" spans="1:9">
      <c r="A103"/>
      <c r="B103" s="2" t="s">
        <v>45</v>
      </c>
      <c r="C103">
        <v>1</v>
      </c>
      <c r="D103"/>
      <c r="E103"/>
    </row>
    <row r="104" spans="1:9">
      <c r="A104"/>
      <c r="B104" s="2" t="s">
        <v>89</v>
      </c>
      <c r="C104">
        <v>1</v>
      </c>
      <c r="D104"/>
      <c r="E104"/>
    </row>
    <row r="105" spans="1:9">
      <c r="A105"/>
      <c r="B105" s="2" t="s">
        <v>34</v>
      </c>
      <c r="C105">
        <v>1</v>
      </c>
      <c r="D105"/>
      <c r="E105" s="2"/>
    </row>
    <row r="106" spans="1:9">
      <c r="A106"/>
      <c r="B106" s="2" t="s">
        <v>50</v>
      </c>
      <c r="C106">
        <v>1</v>
      </c>
      <c r="D106" s="2"/>
      <c r="E106" s="2"/>
    </row>
    <row r="107" spans="1:9">
      <c r="A107" s="1" t="s">
        <v>99</v>
      </c>
      <c r="B107" s="1" t="s">
        <v>89</v>
      </c>
      <c r="C107">
        <v>1</v>
      </c>
      <c r="D107"/>
      <c r="E107"/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G109"/>
      <c r="H109"/>
    </row>
    <row r="110" spans="1:9">
      <c r="A110"/>
      <c r="B110" s="1" t="s">
        <v>103</v>
      </c>
      <c r="C110">
        <v>1</v>
      </c>
      <c r="D110"/>
      <c r="E110"/>
      <c r="G110"/>
    </row>
    <row r="111" spans="1:9">
      <c r="A111"/>
      <c r="B111" s="1" t="s">
        <v>102</v>
      </c>
      <c r="C111">
        <v>1</v>
      </c>
      <c r="D111"/>
      <c r="E111"/>
    </row>
    <row r="112" spans="1:9">
      <c r="A112"/>
      <c r="B112" s="1" t="s">
        <v>98</v>
      </c>
      <c r="C112">
        <v>1</v>
      </c>
      <c r="D112"/>
      <c r="E112"/>
    </row>
    <row r="113" spans="1:9">
      <c r="A113"/>
      <c r="B113" s="1" t="s">
        <v>101</v>
      </c>
      <c r="C113">
        <v>1</v>
      </c>
      <c r="D113"/>
    </row>
    <row r="114" spans="1:9">
      <c r="A114"/>
      <c r="B114" s="1" t="s">
        <v>100</v>
      </c>
      <c r="C114">
        <v>1</v>
      </c>
    </row>
    <row r="115" spans="1:9">
      <c r="A115" s="3" t="s">
        <v>181</v>
      </c>
      <c r="B115" s="3" t="s">
        <v>101</v>
      </c>
      <c r="C115">
        <v>1</v>
      </c>
    </row>
    <row r="116" spans="1:9">
      <c r="A116" s="2" t="s">
        <v>146</v>
      </c>
      <c r="B116" s="2" t="s">
        <v>100</v>
      </c>
      <c r="C116">
        <v>1</v>
      </c>
      <c r="D116"/>
      <c r="E116"/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</row>
    <row r="125" spans="1:9">
      <c r="A125"/>
      <c r="B125" s="1" t="s">
        <v>107</v>
      </c>
      <c r="C125">
        <v>1</v>
      </c>
      <c r="D125"/>
    </row>
    <row r="126" spans="1:9">
      <c r="A126"/>
      <c r="B126" s="1" t="s">
        <v>101</v>
      </c>
      <c r="C126">
        <v>1</v>
      </c>
    </row>
    <row r="127" spans="1:9">
      <c r="A127" s="32" t="s">
        <v>244</v>
      </c>
      <c r="B127" s="32" t="s">
        <v>171</v>
      </c>
      <c r="C127">
        <v>1</v>
      </c>
      <c r="D127"/>
      <c r="E127"/>
    </row>
    <row r="128" spans="1:9">
      <c r="A128"/>
      <c r="B128" s="32" t="s">
        <v>245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243</v>
      </c>
      <c r="B132" s="32" t="s">
        <v>243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F1" sqref="F1:F51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252</v>
      </c>
      <c r="B1" s="36" t="s">
        <v>253</v>
      </c>
      <c r="C1" s="36" t="s">
        <v>254</v>
      </c>
      <c r="D1"/>
      <c r="E1"/>
      <c r="F1" s="37" t="str">
        <f t="array" aca="1" ref="F1" ca="1">IFERROR(INDEX(Dinner_Meal_Names,SMALL(IF(Dinner_Meal_Names&lt;&gt;"",ROW(Dinner_Meal_Names)-ROW($A$2)+1),ROW())),"")</f>
        <v>Asian Salmon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37" t="str">
        <f t="array" aca="1" ref="F2" ca="1">IFERROR(INDEX(Dinner_Meal_Names,SMALL(IF(Dinner_Meal_Names&lt;&gt;"",ROW(Dinner_Meal_Names)-ROW($A$2)+1),ROW())),"")</f>
        <v>Asparagus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37" t="str">
        <f t="array" aca="1" ref="F3" ca="1">IFERROR(INDEX(Dinner_Meal_Names,SMALL(IF(Dinner_Meal_Names&lt;&gt;"",ROW(Dinner_Meal_Names)-ROW($A$2)+1),ROW())),"")</f>
        <v>Baked Parmesan Mushrooms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37" t="str">
        <f t="array" aca="1" ref="F4" ca="1">IFERROR(INDEX(Dinner_Meal_Names,SMALL(IF(Dinner_Meal_Names&lt;&gt;"",ROW(Dinner_Meal_Names)-ROW($A$2)+1),ROW())),"")</f>
        <v>Baked Parmesan Zucchini</v>
      </c>
      <c r="G4"/>
      <c r="H4"/>
    </row>
    <row r="5" spans="1:10">
      <c r="A5"/>
      <c r="B5" s="1" t="s">
        <v>53</v>
      </c>
      <c r="C5">
        <v>1</v>
      </c>
      <c r="D5"/>
      <c r="E5"/>
      <c r="F5" s="37" t="str">
        <f t="array" aca="1" ref="F5" ca="1">IFERROR(INDEX(Dinner_Meal_Names,SMALL(IF(Dinner_Meal_Names&lt;&gt;"",ROW(Dinner_Meal_Names)-ROW($A$2)+1),ROW())),"")</f>
        <v>BBQ Chicken</v>
      </c>
      <c r="G5"/>
    </row>
    <row r="6" spans="1:10">
      <c r="A6"/>
      <c r="B6" s="1" t="s">
        <v>52</v>
      </c>
      <c r="C6">
        <v>1</v>
      </c>
      <c r="D6"/>
      <c r="E6"/>
      <c r="F6" s="37" t="str">
        <f t="array" aca="1" ref="F6" ca="1">IFERROR(INDEX(Dinner_Meal_Names,SMALL(IF(Dinner_Meal_Names&lt;&gt;"",ROW(Dinner_Meal_Names)-ROW($A$2)+1),ROW())),"")</f>
        <v>Beef Stroganoff</v>
      </c>
    </row>
    <row r="7" spans="1:10">
      <c r="A7"/>
      <c r="B7" s="1" t="s">
        <v>51</v>
      </c>
      <c r="C7">
        <v>1</v>
      </c>
      <c r="D7"/>
      <c r="E7"/>
      <c r="F7" s="37" t="str">
        <f t="array" aca="1" ref="F7" ca="1">IFERROR(INDEX(Dinner_Meal_Names,SMALL(IF(Dinner_Meal_Names&lt;&gt;"",ROW(Dinner_Meal_Names)-ROW($A$2)+1),ROW())),"")</f>
        <v>Beef Tacos</v>
      </c>
    </row>
    <row r="8" spans="1:10">
      <c r="A8"/>
      <c r="B8" s="1" t="s">
        <v>50</v>
      </c>
      <c r="C8">
        <v>1</v>
      </c>
      <c r="D8"/>
      <c r="F8" s="37" t="str">
        <f t="array" aca="1" ref="F8" ca="1">IFERROR(INDEX(Dinner_Meal_Names,SMALL(IF(Dinner_Meal_Names&lt;&gt;"",ROW(Dinner_Meal_Names)-ROW($A$2)+1),ROW())),"")</f>
        <v>Broccoli Mac and Cheese</v>
      </c>
    </row>
    <row r="9" spans="1:10">
      <c r="A9"/>
      <c r="B9" s="1" t="s">
        <v>49</v>
      </c>
      <c r="C9">
        <v>1</v>
      </c>
      <c r="F9" s="37" t="str">
        <f t="array" aca="1" ref="F9" ca="1">IFERROR(INDEX(Dinner_Meal_Names,SMALL(IF(Dinner_Meal_Names&lt;&gt;"",ROW(Dinner_Meal_Names)-ROW($A$2)+1),ROW())),"")</f>
        <v>Buffalo Chicken Quesadilla</v>
      </c>
    </row>
    <row r="10" spans="1:10">
      <c r="A10"/>
      <c r="B10" s="1" t="s">
        <v>46</v>
      </c>
      <c r="C10">
        <v>1</v>
      </c>
      <c r="F10" s="37" t="str">
        <f t="array" aca="1" ref="F10" ca="1">IFERROR(INDEX(Dinner_Meal_Names,SMALL(IF(Dinner_Meal_Names&lt;&gt;"",ROW(Dinner_Meal_Names)-ROW($A$2)+1),ROW())),"")</f>
        <v>Caesar Pasta Salad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37" t="str">
        <f t="array" aca="1" ref="F11" ca="1">IFERROR(INDEX(Dinner_Meal_Names,SMALL(IF(Dinner_Meal_Names&lt;&gt;"",ROW(Dinner_Meal_Names)-ROW($A$2)+1),ROW())),"")</f>
        <v>Cajun Chicken Alfredo</v>
      </c>
    </row>
    <row r="12" spans="1:10">
      <c r="A12" s="32" t="s">
        <v>248</v>
      </c>
      <c r="B12" s="32" t="s">
        <v>34</v>
      </c>
      <c r="C12">
        <v>1</v>
      </c>
      <c r="D12"/>
      <c r="E12"/>
      <c r="F12" s="37" t="str">
        <f t="array" aca="1" ref="F12" ca="1">IFERROR(INDEX(Dinner_Meal_Names,SMALL(IF(Dinner_Meal_Names&lt;&gt;"",ROW(Dinner_Meal_Names)-ROW($A$2)+1),ROW())),"")</f>
        <v>Cashew Chicken Stir Fry</v>
      </c>
    </row>
    <row r="13" spans="1:10">
      <c r="A13"/>
      <c r="B13" s="32" t="s">
        <v>46</v>
      </c>
      <c r="C13">
        <v>1</v>
      </c>
      <c r="D13"/>
      <c r="E13" s="32"/>
      <c r="F13" s="37" t="str">
        <f t="array" aca="1" ref="F13" ca="1">IFERROR(INDEX(Dinner_Meal_Names,SMALL(IF(Dinner_Meal_Names&lt;&gt;"",ROW(Dinner_Meal_Names)-ROW($A$2)+1),ROW())),"")</f>
        <v>Chicken Broccoli Shells</v>
      </c>
    </row>
    <row r="14" spans="1:10">
      <c r="A14"/>
      <c r="B14" s="32" t="s">
        <v>188</v>
      </c>
      <c r="C14">
        <v>1</v>
      </c>
      <c r="D14" s="32"/>
      <c r="E14" s="32"/>
      <c r="F14" s="37" t="str">
        <f t="array" aca="1" ref="F14" ca="1">IFERROR(INDEX(Dinner_Meal_Names,SMALL(IF(Dinner_Meal_Names&lt;&gt;"",ROW(Dinner_Meal_Names)-ROW($A$2)+1),ROW())),"")</f>
        <v>Chicken Cordon Bleu</v>
      </c>
    </row>
    <row r="15" spans="1:10">
      <c r="A15"/>
      <c r="B15" s="32" t="s">
        <v>111</v>
      </c>
      <c r="C15">
        <v>1</v>
      </c>
      <c r="D15"/>
      <c r="F15" s="37" t="str">
        <f t="array" aca="1" ref="F15" ca="1">IFERROR(INDEX(Dinner_Meal_Names,SMALL(IF(Dinner_Meal_Names&lt;&gt;"",ROW(Dinner_Meal_Names)-ROW($A$2)+1),ROW())),"")</f>
        <v>Chicken Enchilada Quinoa</v>
      </c>
    </row>
    <row r="16" spans="1:10">
      <c r="A16" s="32" t="s">
        <v>246</v>
      </c>
      <c r="B16" s="32" t="s">
        <v>35</v>
      </c>
      <c r="C16">
        <v>1</v>
      </c>
      <c r="D16"/>
      <c r="F16" s="37" t="str">
        <f t="array" aca="1" ref="F16" ca="1">IFERROR(INDEX(Dinner_Meal_Names,SMALL(IF(Dinner_Meal_Names&lt;&gt;"",ROW(Dinner_Meal_Names)-ROW($A$2)+1),ROW())),"")</f>
        <v>Cilantro Lime Chicken</v>
      </c>
    </row>
    <row r="17" spans="1:9">
      <c r="A17"/>
      <c r="B17" s="32" t="s">
        <v>247</v>
      </c>
      <c r="C17">
        <v>1</v>
      </c>
      <c r="D17" s="32"/>
      <c r="F17" s="37" t="str">
        <f t="array" aca="1" ref="F17" ca="1">IFERROR(INDEX(Dinner_Meal_Names,SMALL(IF(Dinner_Meal_Names&lt;&gt;"",ROW(Dinner_Meal_Names)-ROW($A$2)+1),ROW())),"")</f>
        <v>Coconut Chicken Tenders</v>
      </c>
    </row>
    <row r="18" spans="1:9">
      <c r="A18"/>
      <c r="B18" s="32" t="s">
        <v>111</v>
      </c>
      <c r="C18">
        <v>1</v>
      </c>
      <c r="F18" s="37" t="str">
        <f t="array" aca="1" ref="F18" ca="1">IFERROR(INDEX(Dinner_Meal_Names,SMALL(IF(Dinner_Meal_Names&lt;&gt;"",ROW(Dinner_Meal_Names)-ROW($A$2)+1),ROW())),"")</f>
        <v>Corn</v>
      </c>
    </row>
    <row r="19" spans="1:9">
      <c r="A19" s="1" t="s">
        <v>14</v>
      </c>
      <c r="B19" s="1" t="s">
        <v>258</v>
      </c>
      <c r="C19">
        <v>1</v>
      </c>
      <c r="F19" s="37" t="str">
        <f t="array" aca="1" ref="F19" ca="1">IFERROR(INDEX(Dinner_Meal_Names,SMALL(IF(Dinner_Meal_Names&lt;&gt;"",ROW(Dinner_Meal_Names)-ROW($A$2)+1),ROW())),"")</f>
        <v>Creamy Meyer Lemon Pasta</v>
      </c>
    </row>
    <row r="20" spans="1:9">
      <c r="A20"/>
      <c r="B20" s="1" t="s">
        <v>15</v>
      </c>
      <c r="C20">
        <v>1</v>
      </c>
      <c r="D20"/>
      <c r="E20"/>
      <c r="F20" s="37" t="str">
        <f t="array" aca="1" ref="F20" ca="1">IFERROR(INDEX(Dinner_Meal_Names,SMALL(IF(Dinner_Meal_Names&lt;&gt;"",ROW(Dinner_Meal_Names)-ROW($A$2)+1),ROW())),"")</f>
        <v>Crockpot Lemon Garlic Chicken</v>
      </c>
      <c r="G20"/>
      <c r="H20"/>
      <c r="I20"/>
    </row>
    <row r="21" spans="1:9">
      <c r="A21" s="30" t="s">
        <v>233</v>
      </c>
      <c r="B21" s="30" t="s">
        <v>259</v>
      </c>
      <c r="C21">
        <v>1</v>
      </c>
      <c r="D21"/>
      <c r="E21"/>
      <c r="F21" s="37" t="str">
        <f t="array" aca="1" ref="F21" ca="1">IFERROR(INDEX(Dinner_Meal_Names,SMALL(IF(Dinner_Meal_Names&lt;&gt;"",ROW(Dinner_Meal_Names)-ROW($A$2)+1),ROW())),"")</f>
        <v>Garlic Brown Sugar Chicken</v>
      </c>
      <c r="G21"/>
      <c r="H21"/>
      <c r="I21"/>
    </row>
    <row r="22" spans="1:9">
      <c r="A22"/>
      <c r="B22" s="30" t="s">
        <v>237</v>
      </c>
      <c r="C22">
        <v>1</v>
      </c>
      <c r="D22"/>
      <c r="E22"/>
      <c r="F22" s="37" t="str">
        <f t="array" aca="1" ref="F22" ca="1">IFERROR(INDEX(Dinner_Meal_Names,SMALL(IF(Dinner_Meal_Names&lt;&gt;"",ROW(Dinner_Meal_Names)-ROW($A$2)+1),ROW())),"")</f>
        <v>Garlic Parmesan Chicken</v>
      </c>
      <c r="G22"/>
      <c r="H22"/>
      <c r="I22" s="30"/>
    </row>
    <row r="23" spans="1:9">
      <c r="A23"/>
      <c r="B23" s="30" t="s">
        <v>236</v>
      </c>
      <c r="C23">
        <v>1</v>
      </c>
      <c r="D23"/>
      <c r="E23"/>
      <c r="F23" s="37" t="str">
        <f t="array" aca="1" ref="F23" ca="1">IFERROR(INDEX(Dinner_Meal_Names,SMALL(IF(Dinner_Meal_Names&lt;&gt;"",ROW(Dinner_Meal_Names)-ROW($A$2)+1),ROW())),"")</f>
        <v>Garlic Parmesan Roasted Broccoli</v>
      </c>
      <c r="G23"/>
      <c r="H23" s="30"/>
      <c r="I23" s="30"/>
    </row>
    <row r="24" spans="1:9">
      <c r="A24"/>
      <c r="B24" s="30" t="s">
        <v>240</v>
      </c>
      <c r="C24">
        <v>1</v>
      </c>
      <c r="D24"/>
      <c r="E24"/>
      <c r="F24" s="37" t="str">
        <f t="array" aca="1" ref="F24" ca="1">IFERROR(INDEX(Dinner_Meal_Names,SMALL(IF(Dinner_Meal_Names&lt;&gt;"",ROW(Dinner_Meal_Names)-ROW($A$2)+1),ROW())),"")</f>
        <v>Ice Cream</v>
      </c>
      <c r="G24" s="30"/>
      <c r="H24" s="30"/>
      <c r="I24" s="30"/>
    </row>
    <row r="25" spans="1:9">
      <c r="A25"/>
      <c r="B25" s="30" t="s">
        <v>260</v>
      </c>
      <c r="C25">
        <v>1</v>
      </c>
      <c r="D25"/>
      <c r="E25"/>
      <c r="F25" s="37" t="str">
        <f t="array" aca="1" ref="F25" ca="1">IFERROR(INDEX(Dinner_Meal_Names,SMALL(IF(Dinner_Meal_Names&lt;&gt;"",ROW(Dinner_Meal_Names)-ROW($A$2)+1),ROW())),"")</f>
        <v>Lemon Roasted Chicken</v>
      </c>
      <c r="G25" s="30"/>
      <c r="H25" s="30"/>
      <c r="I25" s="30"/>
    </row>
    <row r="26" spans="1:9">
      <c r="A26"/>
      <c r="B26" s="30" t="s">
        <v>235</v>
      </c>
      <c r="C26">
        <v>1</v>
      </c>
      <c r="D26"/>
      <c r="E26" s="30"/>
      <c r="F26" s="37" t="str">
        <f t="array" aca="1" ref="F26" ca="1">IFERROR(INDEX(Dinner_Meal_Names,SMALL(IF(Dinner_Meal_Names&lt;&gt;"",ROW(Dinner_Meal_Names)-ROW($A$2)+1),ROW())),"")</f>
        <v>Lemon Shrimp Spinach Pasta</v>
      </c>
      <c r="G26" s="30"/>
      <c r="H26" s="30"/>
      <c r="I26" s="30"/>
    </row>
    <row r="27" spans="1:9">
      <c r="A27"/>
      <c r="B27" s="30" t="s">
        <v>234</v>
      </c>
      <c r="C27">
        <v>1</v>
      </c>
      <c r="D27" s="30"/>
      <c r="E27" s="30"/>
      <c r="F27" s="37" t="str">
        <f t="array" aca="1" ref="F27" ca="1">IFERROR(INDEX(Dinner_Meal_Names,SMALL(IF(Dinner_Meal_Names&lt;&gt;"",ROW(Dinner_Meal_Names)-ROW($A$2)+1),ROW())),"")</f>
        <v>Meatball Sub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37" t="str">
        <f t="array" aca="1" ref="F28" ca="1">IFERROR(INDEX(Dinner_Meal_Names,SMALL(IF(Dinner_Meal_Names&lt;&gt;"",ROW(Dinner_Meal_Names)-ROW($A$2)+1),ROW())),"")</f>
        <v>Mojito Salmon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37" t="str">
        <f t="array" aca="1" ref="F29" ca="1">IFERROR(INDEX(Dinner_Meal_Names,SMALL(IF(Dinner_Meal_Names&lt;&gt;"",ROW(Dinner_Meal_Names)-ROW($A$2)+1),ROW())),"")</f>
        <v>Out</v>
      </c>
      <c r="G29"/>
      <c r="H29"/>
    </row>
    <row r="30" spans="1:9">
      <c r="A30"/>
      <c r="B30" s="1" t="s">
        <v>23</v>
      </c>
      <c r="C30">
        <v>1</v>
      </c>
      <c r="D30"/>
      <c r="E30"/>
      <c r="F30" s="37" t="str">
        <f t="array" aca="1" ref="F30" ca="1">IFERROR(INDEX(Dinner_Meal_Names,SMALL(IF(Dinner_Meal_Names&lt;&gt;"",ROW(Dinner_Meal_Names)-ROW($A$2)+1),ROW())),"")</f>
        <v>Parmesan Garlic Pasta</v>
      </c>
      <c r="G30"/>
    </row>
    <row r="31" spans="1:9">
      <c r="A31"/>
      <c r="B31" s="1" t="s">
        <v>22</v>
      </c>
      <c r="C31">
        <v>1</v>
      </c>
      <c r="D31"/>
      <c r="E31"/>
      <c r="F31" s="37" t="str">
        <f t="array" aca="1" ref="F31" ca="1">IFERROR(INDEX(Dinner_Meal_Names,SMALL(IF(Dinner_Meal_Names&lt;&gt;"",ROW(Dinner_Meal_Names)-ROW($A$2)+1),ROW())),"")</f>
        <v>Parmesan Rosemary Chicken Nuggets</v>
      </c>
    </row>
    <row r="32" spans="1:9">
      <c r="A32"/>
      <c r="B32" s="1" t="s">
        <v>21</v>
      </c>
      <c r="C32">
        <v>1</v>
      </c>
      <c r="D32"/>
      <c r="E32"/>
      <c r="F32" s="37" t="str">
        <f t="array" aca="1" ref="F32" ca="1">IFERROR(INDEX(Dinner_Meal_Names,SMALL(IF(Dinner_Meal_Names&lt;&gt;"",ROW(Dinner_Meal_Names)-ROW($A$2)+1),ROW())),"")</f>
        <v>Pasta Carabonara</v>
      </c>
    </row>
    <row r="33" spans="1:7">
      <c r="A33"/>
      <c r="B33" s="1" t="s">
        <v>20</v>
      </c>
      <c r="C33">
        <v>1</v>
      </c>
      <c r="D33"/>
      <c r="F33" s="37" t="str">
        <f t="array" aca="1" ref="F33" ca="1">IFERROR(INDEX(Dinner_Meal_Names,SMALL(IF(Dinner_Meal_Names&lt;&gt;"",ROW(Dinner_Meal_Names)-ROW($A$2)+1),ROW())),"")</f>
        <v>Pasta Side</v>
      </c>
    </row>
    <row r="34" spans="1:7">
      <c r="A34"/>
      <c r="B34" s="1" t="s">
        <v>19</v>
      </c>
      <c r="C34">
        <v>1</v>
      </c>
      <c r="F34" s="37" t="str">
        <f t="array" aca="1" ref="F34" ca="1">IFERROR(INDEX(Dinner_Meal_Names,SMALL(IF(Dinner_Meal_Names&lt;&gt;"",ROW(Dinner_Meal_Names)-ROW($A$2)+1),ROW())),"")</f>
        <v>Pasta with Sauce</v>
      </c>
    </row>
    <row r="35" spans="1:7">
      <c r="A35"/>
      <c r="B35" s="1" t="s">
        <v>18</v>
      </c>
      <c r="C35">
        <v>1</v>
      </c>
      <c r="D35"/>
      <c r="E35"/>
      <c r="F35" s="37" t="str">
        <f t="array" aca="1" ref="F35" ca="1">IFERROR(INDEX(Dinner_Meal_Names,SMALL(IF(Dinner_Meal_Names&lt;&gt;"",ROW(Dinner_Meal_Names)-ROW($A$2)+1),ROW())),"")</f>
        <v>Pasta with Sun Dried Tomato Cream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37" t="str">
        <f t="array" aca="1" ref="F36" ca="1">IFERROR(INDEX(Dinner_Meal_Names,SMALL(IF(Dinner_Meal_Names&lt;&gt;"",ROW(Dinner_Meal_Names)-ROW($A$2)+1),ROW())),"")</f>
        <v>Pesto Pasta with Sun Dried Tomatoes and Asparagus</v>
      </c>
      <c r="G36"/>
    </row>
    <row r="37" spans="1:7">
      <c r="A37"/>
      <c r="B37" s="1" t="s">
        <v>75</v>
      </c>
      <c r="C37">
        <v>1</v>
      </c>
      <c r="D37"/>
      <c r="E37"/>
      <c r="F37" s="37" t="str">
        <f t="array" aca="1" ref="F37" ca="1">IFERROR(INDEX(Dinner_Meal_Names,SMALL(IF(Dinner_Meal_Names&lt;&gt;"",ROW(Dinner_Meal_Names)-ROW($A$2)+1),ROW())),"")</f>
        <v>Pesto Salmon and Italian Veggies</v>
      </c>
    </row>
    <row r="38" spans="1:7">
      <c r="A38"/>
      <c r="B38" s="1" t="s">
        <v>81</v>
      </c>
      <c r="C38">
        <v>1</v>
      </c>
      <c r="D38"/>
      <c r="E38"/>
      <c r="F38" s="37" t="str">
        <f t="array" aca="1" ref="F38" ca="1">IFERROR(INDEX(Dinner_Meal_Names,SMALL(IF(Dinner_Meal_Names&lt;&gt;"",ROW(Dinner_Meal_Names)-ROW($A$2)+1),ROW())),"")</f>
        <v>Pumpkin Mac and Cheese</v>
      </c>
    </row>
    <row r="39" spans="1:7">
      <c r="A39"/>
      <c r="B39" s="1" t="s">
        <v>29</v>
      </c>
      <c r="C39">
        <v>1</v>
      </c>
      <c r="D39"/>
      <c r="F39" s="37" t="str">
        <f t="array" aca="1" ref="F39" ca="1">IFERROR(INDEX(Dinner_Meal_Names,SMALL(IF(Dinner_Meal_Names&lt;&gt;"",ROW(Dinner_Meal_Names)-ROW($A$2)+1),ROW())),"")</f>
        <v>Rice</v>
      </c>
    </row>
    <row r="40" spans="1:7">
      <c r="A40"/>
      <c r="B40" s="1" t="s">
        <v>63</v>
      </c>
      <c r="C40">
        <v>1</v>
      </c>
      <c r="F40" s="37" t="str">
        <f t="array" aca="1" ref="F40" ca="1">IFERROR(INDEX(Dinner_Meal_Names,SMALL(IF(Dinner_Meal_Names&lt;&gt;"",ROW(Dinner_Meal_Names)-ROW($A$2)+1),ROW())),"")</f>
        <v>Sesame Chicken Bowl</v>
      </c>
    </row>
    <row r="41" spans="1:7">
      <c r="A41"/>
      <c r="B41" s="1" t="s">
        <v>80</v>
      </c>
      <c r="C41">
        <v>1</v>
      </c>
      <c r="D41"/>
      <c r="E41"/>
      <c r="F41" s="37" t="str">
        <f t="array" aca="1" ref="F41" ca="1">IFERROR(INDEX(Dinner_Meal_Names,SMALL(IF(Dinner_Meal_Names&lt;&gt;"",ROW(Dinner_Meal_Names)-ROW($A$2)+1),ROW())),"")</f>
        <v>Spaghetti Squash Lasagna Boats</v>
      </c>
    </row>
    <row r="42" spans="1:7">
      <c r="A42" s="30" t="s">
        <v>238</v>
      </c>
      <c r="B42" s="30" t="s">
        <v>15</v>
      </c>
      <c r="C42">
        <v>1</v>
      </c>
      <c r="D42"/>
      <c r="E42"/>
      <c r="F42" s="37" t="str">
        <f t="array" aca="1" ref="F42" ca="1">IFERROR(INDEX(Dinner_Meal_Names,SMALL(IF(Dinner_Meal_Names&lt;&gt;"",ROW(Dinner_Meal_Names)-ROW($A$2)+1),ROW())),"")</f>
        <v>Spinach and Israeli Couscous</v>
      </c>
    </row>
    <row r="43" spans="1:7">
      <c r="A43"/>
      <c r="B43" s="30" t="s">
        <v>240</v>
      </c>
      <c r="C43">
        <v>1</v>
      </c>
      <c r="D43"/>
      <c r="E43"/>
      <c r="F43" s="37" t="str">
        <f t="array" aca="1" ref="F43" ca="1">IFERROR(INDEX(Dinner_Meal_Names,SMALL(IF(Dinner_Meal_Names&lt;&gt;"",ROW(Dinner_Meal_Names)-ROW($A$2)+1),ROW())),"")</f>
        <v>Strawberry Shortcake</v>
      </c>
    </row>
    <row r="44" spans="1:7">
      <c r="A44"/>
      <c r="B44" s="30" t="s">
        <v>21</v>
      </c>
      <c r="C44">
        <v>1</v>
      </c>
      <c r="D44"/>
      <c r="E44" s="30"/>
      <c r="F44" s="37" t="str">
        <f t="array" aca="1" ref="F44" ca="1">IFERROR(INDEX(Dinner_Meal_Names,SMALL(IF(Dinner_Meal_Names&lt;&gt;"",ROW(Dinner_Meal_Names)-ROW($A$2)+1),ROW())),"")</f>
        <v>Tequila Lime Chicken</v>
      </c>
    </row>
    <row r="45" spans="1:7">
      <c r="A45"/>
      <c r="B45" s="30" t="s">
        <v>20</v>
      </c>
      <c r="C45">
        <v>1</v>
      </c>
      <c r="D45" s="30"/>
      <c r="E45" s="30"/>
      <c r="F45" s="37" t="str">
        <f t="array" aca="1" ref="F45" ca="1">IFERROR(INDEX(Dinner_Meal_Names,SMALL(IF(Dinner_Meal_Names&lt;&gt;"",ROW(Dinner_Meal_Names)-ROW($A$2)+1),ROW())),"")</f>
        <v>Turkey Burgers</v>
      </c>
    </row>
    <row r="46" spans="1:7">
      <c r="A46"/>
      <c r="B46" s="30" t="s">
        <v>239</v>
      </c>
      <c r="C46">
        <v>1</v>
      </c>
      <c r="D46"/>
      <c r="E46"/>
      <c r="F46" s="37" t="str">
        <f t="array" aca="1" ref="F46" ca="1">IFERROR(INDEX(Dinner_Meal_Names,SMALL(IF(Dinner_Meal_Names&lt;&gt;"",ROW(Dinner_Meal_Names)-ROW($A$2)+1),ROW())),"")</f>
        <v>Wawa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37" t="str">
        <f t="array" aca="1" ref="F47" ca="1">IFERROR(INDEX(Dinner_Meal_Names,SMALL(IF(Dinner_Meal_Names&lt;&gt;"",ROW(Dinner_Meal_Names)-ROW($A$2)+1),ROW())),"")</f>
        <v>Zucchini Mushroom Pasta</v>
      </c>
      <c r="G47"/>
    </row>
    <row r="48" spans="1:7">
      <c r="A48"/>
      <c r="B48" s="2" t="s">
        <v>174</v>
      </c>
      <c r="C48">
        <v>1</v>
      </c>
      <c r="D48"/>
      <c r="E48"/>
      <c r="F48" s="37" t="str">
        <f t="array" aca="1" ref="F48" ca="1">IFERROR(INDEX(Dinner_Meal_Names,SMALL(IF(Dinner_Meal_Names&lt;&gt;"",ROW(Dinner_Meal_Names)-ROW($A$2)+1),ROW())),"")</f>
        <v/>
      </c>
      <c r="G48" s="2"/>
    </row>
    <row r="49" spans="1:10">
      <c r="A49"/>
      <c r="B49" s="2" t="s">
        <v>111</v>
      </c>
      <c r="C49">
        <v>1</v>
      </c>
      <c r="D49"/>
      <c r="E49"/>
      <c r="F49" s="37" t="str">
        <f t="array" aca="1" ref="F49" ca="1">IFERROR(INDEX(Dinner_Meal_Names,SMALL(IF(Dinner_Meal_Names&lt;&gt;"",ROW(Dinner_Meal_Names)-ROW($A$2)+1),ROW())),"")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37" t="str">
        <f t="array" aca="1" ref="F50" ca="1">IFERROR(INDEX(Dinner_Meal_Names,SMALL(IF(Dinner_Meal_Names&lt;&gt;"",ROW(Dinner_Meal_Names)-ROW($A$2)+1),ROW())),"")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37" t="str">
        <f t="array" aca="1" ref="F51" ca="1">IFERROR(INDEX(Dinner_Meal_Names,SMALL(IF(Dinner_Meal_Names&lt;&gt;"",ROW(Dinner_Meal_Names)-ROW($A$2)+1),ROW())),"")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G53"/>
      <c r="H53"/>
      <c r="I53"/>
    </row>
    <row r="54" spans="1:10">
      <c r="A54"/>
      <c r="B54" s="28" t="s">
        <v>75</v>
      </c>
      <c r="C54">
        <v>1</v>
      </c>
      <c r="D54"/>
      <c r="E54"/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G56" s="28"/>
      <c r="H56" s="28"/>
      <c r="I56" s="28"/>
    </row>
    <row r="57" spans="1:10">
      <c r="A57"/>
      <c r="B57" s="28" t="s">
        <v>261</v>
      </c>
      <c r="C57">
        <v>1</v>
      </c>
      <c r="D57"/>
      <c r="E57"/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G69"/>
    </row>
    <row r="70" spans="1:10">
      <c r="A70" s="2" t="s">
        <v>178</v>
      </c>
      <c r="B70" s="2" t="s">
        <v>179</v>
      </c>
      <c r="C70">
        <v>1</v>
      </c>
      <c r="D70"/>
      <c r="E70"/>
      <c r="G70"/>
    </row>
    <row r="71" spans="1:10">
      <c r="A71"/>
      <c r="B71" s="2" t="s">
        <v>31</v>
      </c>
      <c r="C71">
        <v>1</v>
      </c>
      <c r="D71"/>
      <c r="E71"/>
      <c r="G71" s="2"/>
    </row>
    <row r="72" spans="1:10">
      <c r="A72"/>
      <c r="B72" s="2" t="s">
        <v>62</v>
      </c>
      <c r="C72">
        <v>1</v>
      </c>
      <c r="D72"/>
      <c r="E72"/>
      <c r="G72" s="2"/>
    </row>
    <row r="73" spans="1:10">
      <c r="A73"/>
      <c r="B73" s="2" t="s">
        <v>75</v>
      </c>
      <c r="C73">
        <v>1</v>
      </c>
      <c r="D73"/>
      <c r="E73" s="2"/>
      <c r="G73" s="2"/>
    </row>
    <row r="74" spans="1:10">
      <c r="A74"/>
      <c r="B74" s="2" t="s">
        <v>39</v>
      </c>
      <c r="C74">
        <v>1</v>
      </c>
      <c r="D74" s="2"/>
      <c r="E74" s="2"/>
      <c r="G74" s="2"/>
    </row>
    <row r="75" spans="1:10">
      <c r="A75"/>
      <c r="B75" s="2" t="s">
        <v>80</v>
      </c>
      <c r="C75">
        <v>1</v>
      </c>
      <c r="D75"/>
      <c r="E75"/>
    </row>
    <row r="76" spans="1:10">
      <c r="A76" s="1" t="s">
        <v>90</v>
      </c>
      <c r="B76" s="1" t="s">
        <v>91</v>
      </c>
      <c r="C76">
        <v>1</v>
      </c>
      <c r="D76"/>
      <c r="E76"/>
    </row>
    <row r="77" spans="1:10">
      <c r="A77"/>
      <c r="B77" s="1" t="s">
        <v>262</v>
      </c>
      <c r="C77">
        <v>1</v>
      </c>
      <c r="D77"/>
      <c r="E77"/>
    </row>
    <row r="78" spans="1:10">
      <c r="A78"/>
      <c r="B78" s="1" t="s">
        <v>83</v>
      </c>
      <c r="C78">
        <v>1</v>
      </c>
      <c r="D78"/>
    </row>
    <row r="79" spans="1:10">
      <c r="A79"/>
      <c r="B79" s="1" t="s">
        <v>40</v>
      </c>
      <c r="C79">
        <v>1</v>
      </c>
    </row>
    <row r="80" spans="1:10">
      <c r="A80"/>
      <c r="B80" s="1" t="s">
        <v>92</v>
      </c>
      <c r="C80">
        <v>1</v>
      </c>
      <c r="D80"/>
      <c r="E80"/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G81"/>
      <c r="H81"/>
      <c r="I81"/>
    </row>
    <row r="82" spans="1:9">
      <c r="A82"/>
      <c r="B82" s="29" t="s">
        <v>50</v>
      </c>
      <c r="C82">
        <v>1</v>
      </c>
      <c r="D82"/>
      <c r="E82"/>
      <c r="G82"/>
      <c r="H82"/>
      <c r="I82" s="29"/>
    </row>
    <row r="83" spans="1:9">
      <c r="A83"/>
      <c r="B83" s="29" t="s">
        <v>263</v>
      </c>
      <c r="C83">
        <v>1</v>
      </c>
      <c r="D83"/>
      <c r="E83"/>
      <c r="G83"/>
      <c r="H83" s="29"/>
      <c r="I83" s="29"/>
    </row>
    <row r="84" spans="1:9">
      <c r="A84"/>
      <c r="B84" s="29" t="s">
        <v>264</v>
      </c>
      <c r="C84">
        <v>1</v>
      </c>
      <c r="D84"/>
      <c r="E84"/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G85" s="29"/>
      <c r="H85" s="29"/>
      <c r="I85" s="29"/>
    </row>
    <row r="86" spans="1:9">
      <c r="A86"/>
      <c r="B86" s="29" t="s">
        <v>265</v>
      </c>
      <c r="C86">
        <v>1</v>
      </c>
      <c r="D86"/>
      <c r="E86" s="29"/>
      <c r="G86" s="29"/>
      <c r="H86" s="29"/>
      <c r="I86" s="29"/>
    </row>
    <row r="87" spans="1:9">
      <c r="A87"/>
      <c r="B87" s="29" t="s">
        <v>266</v>
      </c>
      <c r="C87">
        <v>1</v>
      </c>
      <c r="D87" s="29"/>
      <c r="E87" s="29"/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G88"/>
      <c r="H88"/>
      <c r="I88"/>
    </row>
    <row r="89" spans="1:9">
      <c r="A89" s="35" t="s">
        <v>271</v>
      </c>
      <c r="B89" s="29" t="s">
        <v>39</v>
      </c>
      <c r="C89">
        <v>1</v>
      </c>
      <c r="D89"/>
      <c r="E89"/>
      <c r="G89"/>
      <c r="H89"/>
      <c r="I89"/>
    </row>
    <row r="90" spans="1:9">
      <c r="A90"/>
      <c r="B90" s="29" t="s">
        <v>198</v>
      </c>
      <c r="C90">
        <v>1</v>
      </c>
      <c r="D90"/>
      <c r="E90"/>
      <c r="G90"/>
      <c r="H90"/>
      <c r="I90" s="29"/>
    </row>
    <row r="91" spans="1:9">
      <c r="A91"/>
      <c r="B91" s="29" t="s">
        <v>267</v>
      </c>
      <c r="C91">
        <v>1</v>
      </c>
      <c r="D91"/>
      <c r="E91"/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231</v>
      </c>
      <c r="B146" s="29" t="s">
        <v>232</v>
      </c>
      <c r="C146">
        <v>1</v>
      </c>
    </row>
    <row r="147" spans="1:8">
      <c r="A147" s="27" t="s">
        <v>211</v>
      </c>
      <c r="B147" s="27" t="s">
        <v>268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249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250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261</v>
      </c>
      <c r="C187">
        <v>1</v>
      </c>
      <c r="D187"/>
      <c r="E187"/>
      <c r="F187"/>
      <c r="G187"/>
      <c r="H187" s="29"/>
    </row>
    <row r="188" spans="1:8">
      <c r="A188"/>
      <c r="B188" s="29" t="s">
        <v>269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9"/>
  <sheetViews>
    <sheetView workbookViewId="0">
      <selection activeCell="J16" sqref="J1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252</v>
      </c>
      <c r="B1" s="36" t="s">
        <v>253</v>
      </c>
      <c r="C1" s="36" t="s">
        <v>254</v>
      </c>
      <c r="F1" s="35" t="str">
        <f t="array" aca="1" ref="F1" ca="1">IFERROR(INDEX(Snack_Meal_Names,SMALL(IF(Snack_Meal_Names&lt;&gt;"",ROW(Snack_Meal_Names)-ROW($A$2)+1),ROW())),"")</f>
        <v>Banana</v>
      </c>
    </row>
    <row r="2" spans="1:6">
      <c r="A2" s="1" t="s">
        <v>129</v>
      </c>
      <c r="B2" s="1" t="s">
        <v>129</v>
      </c>
      <c r="C2" s="1">
        <v>1</v>
      </c>
      <c r="F2" s="35" t="str">
        <f t="array" aca="1" ref="F2" ca="1">IFERROR(INDEX(Snack_Meal_Names,SMALL(IF(Snack_Meal_Names&lt;&gt;"",ROW(Snack_Meal_Names)-ROW($A$2)+1),ROW())),"")</f>
        <v>Carrots</v>
      </c>
    </row>
    <row r="3" spans="1:6">
      <c r="A3" s="1" t="s">
        <v>128</v>
      </c>
      <c r="B3" s="1" t="s">
        <v>128</v>
      </c>
      <c r="C3" s="1">
        <v>1</v>
      </c>
      <c r="F3" s="35" t="str">
        <f t="array" aca="1" ref="F3" ca="1">IFERROR(INDEX(Snack_Meal_Names,SMALL(IF(Snack_Meal_Names&lt;&gt;"",ROW(Snack_Meal_Names)-ROW($A$2)+1),ROW())),"")</f>
        <v>Celery and Peanut Butter</v>
      </c>
    </row>
    <row r="4" spans="1:6">
      <c r="A4" s="1" t="s">
        <v>134</v>
      </c>
      <c r="B4" s="1" t="s">
        <v>135</v>
      </c>
      <c r="C4" s="1">
        <v>1</v>
      </c>
      <c r="F4" s="35" t="str">
        <f t="array" aca="1" ref="F4" ca="1">IFERROR(INDEX(Snack_Meal_Names,SMALL(IF(Snack_Meal_Names&lt;&gt;"",ROW(Snack_Meal_Names)-ROW($A$2)+1),ROW())),"")</f>
        <v>Cheese Cubes</v>
      </c>
    </row>
    <row r="5" spans="1:6">
      <c r="A5"/>
      <c r="B5" s="1" t="s">
        <v>136</v>
      </c>
      <c r="C5" s="1">
        <v>1</v>
      </c>
      <c r="F5" s="35" t="str">
        <f t="array" aca="1" ref="F5" ca="1">IFERROR(INDEX(Snack_Meal_Names,SMALL(IF(Snack_Meal_Names&lt;&gt;"",ROW(Snack_Meal_Names)-ROW($A$2)+1),ROW())),"")</f>
        <v>Cheese Stick</v>
      </c>
    </row>
    <row r="6" spans="1:6">
      <c r="A6" s="1" t="s">
        <v>131</v>
      </c>
      <c r="B6" s="1" t="s">
        <v>131</v>
      </c>
      <c r="C6" s="1">
        <v>1</v>
      </c>
      <c r="F6" s="35" t="str">
        <f t="array" aca="1" ref="F6" ca="1">IFERROR(INDEX(Snack_Meal_Names,SMALL(IF(Snack_Meal_Names&lt;&gt;"",ROW(Snack_Meal_Names)-ROW($A$2)+1),ROW())),"")</f>
        <v>Clementine</v>
      </c>
    </row>
    <row r="7" spans="1:6">
      <c r="A7" s="1" t="s">
        <v>130</v>
      </c>
      <c r="B7" s="1" t="s">
        <v>130</v>
      </c>
      <c r="C7" s="1">
        <v>1</v>
      </c>
      <c r="F7" s="35" t="str">
        <f t="array" aca="1" ref="F7" ca="1">IFERROR(INDEX(Snack_Meal_Names,SMALL(IF(Snack_Meal_Names&lt;&gt;"",ROW(Snack_Meal_Names)-ROW($A$2)+1),ROW())),"")</f>
        <v>Cucumber</v>
      </c>
    </row>
    <row r="8" spans="1:6">
      <c r="A8" s="1" t="s">
        <v>137</v>
      </c>
      <c r="B8" s="1" t="s">
        <v>137</v>
      </c>
      <c r="C8" s="1">
        <v>1</v>
      </c>
      <c r="F8" s="35" t="str">
        <f t="array" aca="1" ref="F8" ca="1">IFERROR(INDEX(Snack_Meal_Names,SMALL(IF(Snack_Meal_Names&lt;&gt;"",ROW(Snack_Meal_Names)-ROW($A$2)+1),ROW())),"")</f>
        <v>Fiber One Brownie</v>
      </c>
    </row>
    <row r="9" spans="1:6">
      <c r="A9" s="1" t="s">
        <v>141</v>
      </c>
      <c r="B9" s="1" t="s">
        <v>141</v>
      </c>
      <c r="C9" s="1">
        <v>1</v>
      </c>
      <c r="F9" s="35" t="str">
        <f t="array" aca="1" ref="F9" ca="1">IFERROR(INDEX(Snack_Meal_Names,SMALL(IF(Snack_Meal_Names&lt;&gt;"",ROW(Snack_Meal_Names)-ROW($A$2)+1),ROW())),"")</f>
        <v>Fiber One Cookie</v>
      </c>
    </row>
    <row r="10" spans="1:6">
      <c r="A10" s="1" t="s">
        <v>133</v>
      </c>
      <c r="B10" s="1" t="s">
        <v>133</v>
      </c>
      <c r="C10" s="1">
        <v>1</v>
      </c>
      <c r="F10" s="35" t="str">
        <f t="array" aca="1" ref="F10" ca="1">IFERROR(INDEX(Snack_Meal_Names,SMALL(IF(Snack_Meal_Names&lt;&gt;"",ROW(Snack_Meal_Names)-ROW($A$2)+1),ROW())),"")</f>
        <v>Fiber One Protein Bar</v>
      </c>
    </row>
    <row r="11" spans="1:6">
      <c r="A11" s="27" t="s">
        <v>212</v>
      </c>
      <c r="B11" s="27" t="s">
        <v>212</v>
      </c>
      <c r="C11" s="1">
        <v>1</v>
      </c>
      <c r="F11" s="35" t="str">
        <f t="array" aca="1" ref="F11" ca="1">IFERROR(INDEX(Snack_Meal_Names,SMALL(IF(Snack_Meal_Names&lt;&gt;"",ROW(Snack_Meal_Names)-ROW($A$2)+1),ROW())),"")</f>
        <v>Fruit</v>
      </c>
    </row>
    <row r="12" spans="1:6">
      <c r="A12" s="1" t="s">
        <v>132</v>
      </c>
      <c r="B12" s="1" t="s">
        <v>132</v>
      </c>
      <c r="C12" s="1">
        <v>1</v>
      </c>
      <c r="F12" s="35" t="str">
        <f t="array" aca="1" ref="F12" ca="1">IFERROR(INDEX(Snack_Meal_Names,SMALL(IF(Snack_Meal_Names&lt;&gt;"",ROW(Snack_Meal_Names)-ROW($A$2)+1),ROW())),"")</f>
        <v>Goldfish</v>
      </c>
    </row>
    <row r="13" spans="1:6">
      <c r="A13" s="27" t="s">
        <v>180</v>
      </c>
      <c r="B13" s="27" t="s">
        <v>180</v>
      </c>
      <c r="C13" s="1">
        <v>1</v>
      </c>
      <c r="F13" s="35" t="str">
        <f t="array" aca="1" ref="F13" ca="1">IFERROR(INDEX(Snack_Meal_Names,SMALL(IF(Snack_Meal_Names&lt;&gt;"",ROW(Snack_Meal_Names)-ROW($A$2)+1),ROW())),"")</f>
        <v>Grapes</v>
      </c>
    </row>
    <row r="14" spans="1:6">
      <c r="A14" s="27" t="s">
        <v>213</v>
      </c>
      <c r="B14" s="27" t="s">
        <v>213</v>
      </c>
      <c r="C14" s="1">
        <v>1</v>
      </c>
      <c r="F14" s="35" t="str">
        <f t="array" aca="1" ref="F14" ca="1">IFERROR(INDEX(Snack_Meal_Names,SMALL(IF(Snack_Meal_Names&lt;&gt;"",ROW(Snack_Meal_Names)-ROW($A$2)+1),ROW())),"")</f>
        <v>Ice Cream</v>
      </c>
    </row>
    <row r="15" spans="1:6">
      <c r="A15" s="1" t="s">
        <v>127</v>
      </c>
      <c r="B15" s="1" t="s">
        <v>127</v>
      </c>
      <c r="C15" s="1">
        <v>1</v>
      </c>
      <c r="F15" s="35" t="str">
        <f t="array" aca="1" ref="F15" ca="1">IFERROR(INDEX(Snack_Meal_Names,SMALL(IF(Snack_Meal_Names&lt;&gt;"",ROW(Snack_Meal_Names)-ROW($A$2)+1),ROW())),"")</f>
        <v>Kiwi</v>
      </c>
    </row>
    <row r="16" spans="1:6">
      <c r="A16" s="3" t="s">
        <v>182</v>
      </c>
      <c r="B16" s="3" t="s">
        <v>182</v>
      </c>
      <c r="C16" s="1">
        <v>1</v>
      </c>
      <c r="F16" s="35" t="str">
        <f t="array" aca="1" ref="F16" ca="1">IFERROR(INDEX(Snack_Meal_Names,SMALL(IF(Snack_Meal_Names&lt;&gt;"",ROW(Snack_Meal_Names)-ROW($A$2)+1),ROW())),"")</f>
        <v>Orange</v>
      </c>
    </row>
    <row r="17" spans="1:6">
      <c r="A17" s="1" t="s">
        <v>139</v>
      </c>
      <c r="B17" s="1" t="s">
        <v>139</v>
      </c>
      <c r="C17" s="1">
        <v>1</v>
      </c>
      <c r="F17" s="35" t="str">
        <f t="array" aca="1" ref="F17" ca="1">IFERROR(INDEX(Snack_Meal_Names,SMALL(IF(Snack_Meal_Names&lt;&gt;"",ROW(Snack_Meal_Names)-ROW($A$2)+1),ROW())),"")</f>
        <v>Pickle</v>
      </c>
    </row>
    <row r="18" spans="1:6">
      <c r="A18" s="1" t="s">
        <v>138</v>
      </c>
      <c r="B18" s="1" t="s">
        <v>138</v>
      </c>
      <c r="C18" s="1">
        <v>1</v>
      </c>
      <c r="F18" s="35" t="str">
        <f t="array" aca="1" ref="F18" ca="1">IFERROR(INDEX(Snack_Meal_Names,SMALL(IF(Snack_Meal_Names&lt;&gt;"",ROW(Snack_Meal_Names)-ROW($A$2)+1),ROW())),"")</f>
        <v>Popcorn</v>
      </c>
    </row>
    <row r="19" spans="1:6">
      <c r="A19" s="1" t="s">
        <v>140</v>
      </c>
      <c r="B19" s="1" t="s">
        <v>140</v>
      </c>
      <c r="C19" s="1">
        <v>1</v>
      </c>
      <c r="F19" s="35" t="str">
        <f t="array" aca="1" ref="F19" ca="1">IFERROR(INDEX(Snack_Meal_Names,SMALL(IF(Snack_Meal_Names&lt;&gt;"",ROW(Snack_Meal_Names)-ROW($A$2)+1),ROW())),"")</f>
        <v>Pretzels</v>
      </c>
    </row>
    <row r="20" spans="1:6">
      <c r="A20" s="31" t="s">
        <v>243</v>
      </c>
      <c r="B20" s="31" t="s">
        <v>243</v>
      </c>
      <c r="C20" s="1">
        <v>1</v>
      </c>
      <c r="F20" s="35" t="str">
        <f t="array" aca="1" ref="F20" ca="1">IFERROR(INDEX(Snack_Meal_Names,SMALL(IF(Snack_Meal_Names&lt;&gt;"",ROW(Snack_Meal_Names)-ROW($A$2)+1),ROW())),"")</f>
        <v>Strawberries</v>
      </c>
    </row>
    <row r="21" spans="1:6">
      <c r="A21" s="27" t="s">
        <v>215</v>
      </c>
      <c r="B21" s="27" t="s">
        <v>215</v>
      </c>
      <c r="C21" s="1">
        <v>1</v>
      </c>
      <c r="F21" s="35" t="str">
        <f t="array" aca="1" ref="F21" ca="1">IFERROR(INDEX(Snack_Meal_Names,SMALL(IF(Snack_Meal_Names&lt;&gt;"",ROW(Snack_Meal_Names)-ROW($A$2)+1),ROW())),"")</f>
        <v>Strawberry Shortcake</v>
      </c>
    </row>
    <row r="22" spans="1:6">
      <c r="A22" s="3" t="s">
        <v>181</v>
      </c>
      <c r="B22" s="3" t="s">
        <v>101</v>
      </c>
      <c r="C22" s="1">
        <v>1</v>
      </c>
      <c r="F22" s="35" t="str">
        <f t="array" aca="1" ref="F22" ca="1">IFERROR(INDEX(Snack_Meal_Names,SMALL(IF(Snack_Meal_Names&lt;&gt;"",ROW(Snack_Meal_Names)-ROW($A$2)+1),ROW())),"")</f>
        <v>Yogurt</v>
      </c>
    </row>
    <row r="23" spans="1:6">
      <c r="A23" s="3" t="s">
        <v>183</v>
      </c>
      <c r="B23" s="3" t="s">
        <v>101</v>
      </c>
      <c r="C23" s="1">
        <v>1</v>
      </c>
      <c r="D23"/>
      <c r="F23" s="35" t="str">
        <f t="array" aca="1" ref="F23" ca="1">IFERROR(INDEX(Snack_Meal_Names,SMALL(IF(Snack_Meal_Names&lt;&gt;"",ROW(Snack_Meal_Names)-ROW($A$2)+1),ROW())),"")</f>
        <v/>
      </c>
    </row>
    <row r="24" spans="1:6">
      <c r="A24"/>
      <c r="B24" s="3" t="s">
        <v>185</v>
      </c>
      <c r="C24" s="1">
        <v>1</v>
      </c>
      <c r="D24"/>
      <c r="F24" s="35" t="str">
        <f t="array" aca="1" ref="F24" ca="1">IFERROR(INDEX(Snack_Meal_Names,SMALL(IF(Snack_Meal_Names&lt;&gt;"",ROW(Snack_Meal_Names)-ROW($A$2)+1),ROW())),"")</f>
        <v/>
      </c>
    </row>
    <row r="25" spans="1:6">
      <c r="A25"/>
      <c r="B25" s="3" t="s">
        <v>184</v>
      </c>
      <c r="C25" s="1">
        <v>1</v>
      </c>
      <c r="D25" s="3"/>
      <c r="F25" s="35" t="str">
        <f t="array" aca="1" ref="F25" ca="1">IFERROR(INDEX(Snack_Meal_Names,SMALL(IF(Snack_Meal_Names&lt;&gt;"",ROW(Snack_Meal_Names)-ROW($A$2)+1),ROW())),"")</f>
        <v/>
      </c>
    </row>
    <row r="26" spans="1:6">
      <c r="A26" s="27" t="s">
        <v>214</v>
      </c>
      <c r="B26" s="35" t="s">
        <v>214</v>
      </c>
      <c r="C26" s="1">
        <v>1</v>
      </c>
      <c r="F26" s="35" t="str">
        <f t="array" aca="1" ref="F26" ca="1">IFERROR(INDEX(Snack_Meal_Names,SMALL(IF(Snack_Meal_Names&lt;&gt;"",ROW(Snack_Meal_Names)-ROW($A$2)+1),ROW())),"")</f>
        <v/>
      </c>
    </row>
    <row r="27" spans="1:6">
      <c r="F27" s="35" t="str">
        <f t="array" aca="1" ref="F27" ca="1">IFERROR(INDEX(Snack_Meal_Names,SMALL(IF(Snack_Meal_Names&lt;&gt;"",ROW(Snack_Meal_Names)-ROW($A$2)+1),ROW())),"")</f>
        <v/>
      </c>
    </row>
    <row r="28" spans="1:6">
      <c r="F28" s="35" t="str">
        <f t="array" aca="1" ref="F28" ca="1">IFERROR(INDEX(Snack_Meal_Names,SMALL(IF(Snack_Meal_Names&lt;&gt;"",ROW(Snack_Meal_Names)-ROW($A$2)+1),ROW())),"")</f>
        <v/>
      </c>
    </row>
    <row r="29" spans="1:6">
      <c r="F29" s="35" t="str">
        <f t="array" aca="1" ref="F29" ca="1">IFERROR(INDEX(Snack_Meal_Names,SMALL(IF(Snack_Meal_Names&lt;&gt;"",ROW(Snack_Meal_Names)-ROW($A$2)+1),ROW())),"")</f>
        <v/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2018-05-22T06:28:49Z</dcterms:modified>
</cp:coreProperties>
</file>